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19db26a36cb66e42/Documents/"/>
    </mc:Choice>
  </mc:AlternateContent>
  <xr:revisionPtr revIDLastSave="1232" documentId="8_{A87E7B47-B791-4FFC-B3B7-1AA9A99A0DD6}" xr6:coauthVersionLast="47" xr6:coauthVersionMax="47" xr10:uidLastSave="{2FC4E53F-9DCB-42EA-AF51-7BE863131107}"/>
  <bookViews>
    <workbookView xWindow="-108" yWindow="-108" windowWidth="23256" windowHeight="12456" xr2:uid="{C5399459-845D-4808-820F-242BF3EB901E}"/>
  </bookViews>
  <sheets>
    <sheet name="All_India_Index_Upto_April23 (1" sheetId="2" r:id="rId1"/>
    <sheet name="Average of each category" sheetId="1" r:id="rId2"/>
    <sheet name="Answer - 1" sheetId="12" r:id="rId3"/>
    <sheet name="Answer - 2" sheetId="5" r:id="rId4"/>
    <sheet name="Answer 3" sheetId="10" r:id="rId5"/>
    <sheet name="Answer - 4" sheetId="16" r:id="rId6"/>
    <sheet name="Answer - 5" sheetId="18" r:id="rId7"/>
  </sheets>
  <definedNames>
    <definedName name="_xlnm._FilterDatabase" localSheetId="1" hidden="1">'Average of each category'!$A$3:$P$375</definedName>
    <definedName name="ExternalData_1" localSheetId="0" hidden="1">'All_India_Index_Upto_April23 (1'!$A$3:$AD$375</definedName>
  </definedNames>
  <calcPr calcId="191029"/>
  <pivotCaches>
    <pivotCache cacheId="0" r:id="rId8"/>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9" i="12" l="1"/>
  <c r="T9" i="12"/>
  <c r="U9" i="12"/>
  <c r="V9" i="12"/>
  <c r="W9" i="12"/>
  <c r="X9" i="12"/>
  <c r="Y9" i="12"/>
  <c r="Z9" i="12"/>
  <c r="R9" i="12"/>
  <c r="S6" i="12"/>
  <c r="T6" i="12"/>
  <c r="U6" i="12"/>
  <c r="V6" i="12"/>
  <c r="W6" i="12"/>
  <c r="X6" i="12"/>
  <c r="Y6" i="12"/>
  <c r="Z6" i="12"/>
  <c r="R6" i="12"/>
  <c r="P9" i="12"/>
  <c r="P6" i="12"/>
  <c r="S2" i="12"/>
  <c r="T2" i="12"/>
  <c r="U2" i="12"/>
  <c r="V2" i="12"/>
  <c r="W2" i="12"/>
  <c r="X2" i="12"/>
  <c r="Y2" i="12"/>
  <c r="Z2" i="12"/>
  <c r="R2" i="12"/>
  <c r="P2" i="12"/>
  <c r="L27" i="18"/>
  <c r="M27" i="18"/>
  <c r="N27" i="18"/>
  <c r="O27" i="18"/>
  <c r="P27" i="18"/>
  <c r="K27" i="18"/>
  <c r="J27" i="18"/>
  <c r="I27" i="18"/>
  <c r="H27" i="18"/>
  <c r="G27" i="18"/>
  <c r="F27" i="18"/>
  <c r="E27" i="18"/>
  <c r="D48" i="1"/>
  <c r="H4" i="10"/>
  <c r="H5" i="10"/>
  <c r="H6" i="10"/>
  <c r="H7" i="10"/>
  <c r="H8" i="10"/>
  <c r="H9" i="10"/>
  <c r="H10" i="10"/>
  <c r="H11" i="10"/>
  <c r="H12" i="10"/>
  <c r="H13" i="10"/>
  <c r="H3" i="10"/>
  <c r="G3" i="10"/>
  <c r="G4" i="10"/>
  <c r="G5" i="10"/>
  <c r="G6" i="10"/>
  <c r="G7" i="10"/>
  <c r="G8" i="10"/>
  <c r="G9" i="10"/>
  <c r="G10" i="10"/>
  <c r="G11" i="10"/>
  <c r="G12" i="10"/>
  <c r="G13" i="10"/>
  <c r="F4" i="10"/>
  <c r="F5" i="10"/>
  <c r="F6" i="10"/>
  <c r="F7" i="10"/>
  <c r="F8" i="10"/>
  <c r="F9" i="10"/>
  <c r="F10" i="10"/>
  <c r="F11" i="10"/>
  <c r="F12" i="10"/>
  <c r="F13" i="10"/>
  <c r="F3" i="10"/>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4" i="1"/>
  <c r="E5" i="1"/>
  <c r="P5" i="1" s="1"/>
  <c r="R5" i="1" s="1"/>
  <c r="E6" i="1"/>
  <c r="P6" i="1" s="1"/>
  <c r="E7" i="1"/>
  <c r="P7" i="1" s="1"/>
  <c r="R7" i="1" s="1"/>
  <c r="E8" i="1"/>
  <c r="P8" i="1" s="1"/>
  <c r="Y8" i="1" s="1"/>
  <c r="E9" i="1"/>
  <c r="E10" i="1"/>
  <c r="E11" i="1"/>
  <c r="E12" i="1"/>
  <c r="P12" i="1" s="1"/>
  <c r="E13" i="1"/>
  <c r="P13" i="1" s="1"/>
  <c r="T13" i="1" s="1"/>
  <c r="E14" i="1"/>
  <c r="P14" i="1" s="1"/>
  <c r="T14" i="1" s="1"/>
  <c r="E15" i="1"/>
  <c r="E16" i="1"/>
  <c r="P16" i="1" s="1"/>
  <c r="R16" i="1" s="1"/>
  <c r="E17" i="1"/>
  <c r="P17" i="1" s="1"/>
  <c r="R17" i="1" s="1"/>
  <c r="E18" i="1"/>
  <c r="P18" i="1" s="1"/>
  <c r="E19" i="1"/>
  <c r="P19" i="1" s="1"/>
  <c r="E20" i="1"/>
  <c r="P20" i="1" s="1"/>
  <c r="E21" i="1"/>
  <c r="P21" i="1" s="1"/>
  <c r="E22" i="1"/>
  <c r="P22" i="1" s="1"/>
  <c r="R22" i="1" s="1"/>
  <c r="E23" i="1"/>
  <c r="P23" i="1" s="1"/>
  <c r="W23" i="1" s="1"/>
  <c r="E24" i="1"/>
  <c r="P24" i="1" s="1"/>
  <c r="E25" i="1"/>
  <c r="P25" i="1" s="1"/>
  <c r="E26" i="1"/>
  <c r="P26" i="1" s="1"/>
  <c r="X26" i="1" s="1"/>
  <c r="E27" i="1"/>
  <c r="P27" i="1" s="1"/>
  <c r="E28" i="1"/>
  <c r="P28" i="1" s="1"/>
  <c r="T28" i="1" s="1"/>
  <c r="E29" i="1"/>
  <c r="P29" i="1" s="1"/>
  <c r="W29" i="1" s="1"/>
  <c r="E30" i="1"/>
  <c r="P30" i="1" s="1"/>
  <c r="E31" i="1"/>
  <c r="P31" i="1" s="1"/>
  <c r="E32" i="1"/>
  <c r="P32" i="1" s="1"/>
  <c r="R32" i="1" s="1"/>
  <c r="E33" i="1"/>
  <c r="E34" i="1"/>
  <c r="P34" i="1" s="1"/>
  <c r="X34" i="1" s="1"/>
  <c r="E35" i="1"/>
  <c r="P35" i="1" s="1"/>
  <c r="R35" i="1" s="1"/>
  <c r="E36" i="1"/>
  <c r="P36" i="1" s="1"/>
  <c r="E37" i="1"/>
  <c r="P37" i="1" s="1"/>
  <c r="V37" i="1" s="1"/>
  <c r="E38" i="1"/>
  <c r="P38" i="1" s="1"/>
  <c r="Y38" i="1" s="1"/>
  <c r="E39" i="1"/>
  <c r="P39" i="1" s="1"/>
  <c r="E40" i="1"/>
  <c r="P40" i="1" s="1"/>
  <c r="U40" i="1" s="1"/>
  <c r="E41" i="1"/>
  <c r="P41" i="1" s="1"/>
  <c r="X41" i="1" s="1"/>
  <c r="E42" i="1"/>
  <c r="E43" i="1"/>
  <c r="P43" i="1" s="1"/>
  <c r="E44" i="1"/>
  <c r="P44" i="1" s="1"/>
  <c r="E45" i="1"/>
  <c r="P45" i="1" s="1"/>
  <c r="E46" i="1"/>
  <c r="P46" i="1" s="1"/>
  <c r="U46" i="1" s="1"/>
  <c r="E47" i="1"/>
  <c r="P47" i="1" s="1"/>
  <c r="U47" i="1" s="1"/>
  <c r="E48" i="1"/>
  <c r="P48" i="1" s="1"/>
  <c r="E49" i="1"/>
  <c r="P49" i="1" s="1"/>
  <c r="R49" i="1" s="1"/>
  <c r="E50" i="1"/>
  <c r="P50" i="1" s="1"/>
  <c r="T50" i="1" s="1"/>
  <c r="E51" i="1"/>
  <c r="E52" i="1"/>
  <c r="P52" i="1" s="1"/>
  <c r="S52" i="1" s="1"/>
  <c r="E53" i="1"/>
  <c r="P53" i="1" s="1"/>
  <c r="U53" i="1" s="1"/>
  <c r="E54" i="1"/>
  <c r="P54" i="1" s="1"/>
  <c r="E55" i="1"/>
  <c r="P55" i="1" s="1"/>
  <c r="E56" i="1"/>
  <c r="P56" i="1" s="1"/>
  <c r="E57" i="1"/>
  <c r="P57" i="1" s="1"/>
  <c r="E58" i="1"/>
  <c r="P58" i="1" s="1"/>
  <c r="R58" i="1" s="1"/>
  <c r="E59" i="1"/>
  <c r="P59" i="1" s="1"/>
  <c r="S59" i="1" s="1"/>
  <c r="E60" i="1"/>
  <c r="P60" i="1" s="1"/>
  <c r="E61" i="1"/>
  <c r="P61" i="1" s="1"/>
  <c r="V61" i="1" s="1"/>
  <c r="E62" i="1"/>
  <c r="P62" i="1" s="1"/>
  <c r="U62" i="1" s="1"/>
  <c r="E63" i="1"/>
  <c r="E64" i="1"/>
  <c r="P64" i="1" s="1"/>
  <c r="X64" i="1" s="1"/>
  <c r="E65" i="1"/>
  <c r="P65" i="1" s="1"/>
  <c r="U65" i="1" s="1"/>
  <c r="E66" i="1"/>
  <c r="P66" i="1" s="1"/>
  <c r="E67" i="1"/>
  <c r="P67" i="1" s="1"/>
  <c r="V67" i="1" s="1"/>
  <c r="E68" i="1"/>
  <c r="P68" i="1" s="1"/>
  <c r="U68" i="1" s="1"/>
  <c r="E69" i="1"/>
  <c r="P69" i="1" s="1"/>
  <c r="E70" i="1"/>
  <c r="P70" i="1" s="1"/>
  <c r="V70" i="1" s="1"/>
  <c r="E71" i="1"/>
  <c r="E72" i="1"/>
  <c r="P72" i="1" s="1"/>
  <c r="E73" i="1"/>
  <c r="P73" i="1" s="1"/>
  <c r="T73" i="1" s="1"/>
  <c r="E74" i="1"/>
  <c r="P74" i="1" s="1"/>
  <c r="Z74" i="1" s="1"/>
  <c r="E75" i="1"/>
  <c r="P75" i="1" s="1"/>
  <c r="E76" i="1"/>
  <c r="P76" i="1" s="1"/>
  <c r="R76" i="1" s="1"/>
  <c r="E77" i="1"/>
  <c r="P77" i="1" s="1"/>
  <c r="R77" i="1" s="1"/>
  <c r="E78" i="1"/>
  <c r="E79" i="1"/>
  <c r="P79" i="1" s="1"/>
  <c r="E80" i="1"/>
  <c r="P80" i="1" s="1"/>
  <c r="E81" i="1"/>
  <c r="E82" i="1"/>
  <c r="P82" i="1" s="1"/>
  <c r="T82" i="1" s="1"/>
  <c r="E83" i="1"/>
  <c r="P83" i="1" s="1"/>
  <c r="X83" i="1" s="1"/>
  <c r="E84" i="1"/>
  <c r="P84" i="1" s="1"/>
  <c r="E85" i="1"/>
  <c r="P85" i="1" s="1"/>
  <c r="V85" i="1" s="1"/>
  <c r="E86" i="1"/>
  <c r="E87" i="1"/>
  <c r="P87" i="1" s="1"/>
  <c r="E88" i="1"/>
  <c r="P88" i="1" s="1"/>
  <c r="V88" i="1" s="1"/>
  <c r="E89" i="1"/>
  <c r="P89" i="1" s="1"/>
  <c r="U89" i="1" s="1"/>
  <c r="E90" i="1"/>
  <c r="P90" i="1" s="1"/>
  <c r="E91" i="1"/>
  <c r="P91" i="1" s="1"/>
  <c r="E92" i="1"/>
  <c r="P92" i="1" s="1"/>
  <c r="E93" i="1"/>
  <c r="P93" i="1" s="1"/>
  <c r="E94" i="1"/>
  <c r="P94" i="1" s="1"/>
  <c r="R94" i="1" s="1"/>
  <c r="E95" i="1"/>
  <c r="P95" i="1" s="1"/>
  <c r="S95" i="1" s="1"/>
  <c r="E96" i="1"/>
  <c r="P96" i="1" s="1"/>
  <c r="E97" i="1"/>
  <c r="P97" i="1" s="1"/>
  <c r="Z97" i="1" s="1"/>
  <c r="E98" i="1"/>
  <c r="P98" i="1" s="1"/>
  <c r="V98" i="1" s="1"/>
  <c r="E99" i="1"/>
  <c r="P99" i="1" s="1"/>
  <c r="E100" i="1"/>
  <c r="P100" i="1" s="1"/>
  <c r="S100" i="1" s="1"/>
  <c r="E101" i="1"/>
  <c r="P101" i="1" s="1"/>
  <c r="U101" i="1" s="1"/>
  <c r="E102" i="1"/>
  <c r="P102" i="1" s="1"/>
  <c r="E103" i="1"/>
  <c r="P103" i="1" s="1"/>
  <c r="W103" i="1" s="1"/>
  <c r="E104" i="1"/>
  <c r="P104" i="1" s="1"/>
  <c r="E105" i="1"/>
  <c r="P105" i="1" s="1"/>
  <c r="E106" i="1"/>
  <c r="P106" i="1" s="1"/>
  <c r="T106" i="1" s="1"/>
  <c r="E107" i="1"/>
  <c r="P107" i="1" s="1"/>
  <c r="R107" i="1" s="1"/>
  <c r="E108" i="1"/>
  <c r="P108" i="1" s="1"/>
  <c r="E109" i="1"/>
  <c r="P109" i="1" s="1"/>
  <c r="Z109" i="1" s="1"/>
  <c r="E110" i="1"/>
  <c r="E111" i="1"/>
  <c r="E112" i="1"/>
  <c r="P112" i="1" s="1"/>
  <c r="V112" i="1" s="1"/>
  <c r="E113" i="1"/>
  <c r="P113" i="1" s="1"/>
  <c r="E114" i="1"/>
  <c r="P114" i="1" s="1"/>
  <c r="E115" i="1"/>
  <c r="P115" i="1" s="1"/>
  <c r="V115" i="1" s="1"/>
  <c r="E116" i="1"/>
  <c r="P116" i="1" s="1"/>
  <c r="E117" i="1"/>
  <c r="E118" i="1"/>
  <c r="P118" i="1" s="1"/>
  <c r="S118" i="1" s="1"/>
  <c r="E119" i="1"/>
  <c r="P119" i="1" s="1"/>
  <c r="U119" i="1" s="1"/>
  <c r="E120" i="1"/>
  <c r="P120" i="1" s="1"/>
  <c r="E121" i="1"/>
  <c r="P121" i="1" s="1"/>
  <c r="S121" i="1" s="1"/>
  <c r="E122" i="1"/>
  <c r="P122" i="1" s="1"/>
  <c r="S122" i="1" s="1"/>
  <c r="E123" i="1"/>
  <c r="E124" i="1"/>
  <c r="P124" i="1" s="1"/>
  <c r="R124" i="1" s="1"/>
  <c r="E125" i="1"/>
  <c r="P125" i="1" s="1"/>
  <c r="R125" i="1" s="1"/>
  <c r="E126" i="1"/>
  <c r="P126" i="1" s="1"/>
  <c r="E127" i="1"/>
  <c r="P127" i="1" s="1"/>
  <c r="R127" i="1" s="1"/>
  <c r="E128" i="1"/>
  <c r="P128" i="1" s="1"/>
  <c r="V128" i="1" s="1"/>
  <c r="E129" i="1"/>
  <c r="P129" i="1" s="1"/>
  <c r="E130" i="1"/>
  <c r="P130" i="1" s="1"/>
  <c r="W130" i="1" s="1"/>
  <c r="E131" i="1"/>
  <c r="P131" i="1" s="1"/>
  <c r="S131" i="1" s="1"/>
  <c r="E132" i="1"/>
  <c r="P132" i="1" s="1"/>
  <c r="E133" i="1"/>
  <c r="P133" i="1" s="1"/>
  <c r="W133" i="1" s="1"/>
  <c r="E134" i="1"/>
  <c r="P134" i="1" s="1"/>
  <c r="U134" i="1" s="1"/>
  <c r="E135" i="1"/>
  <c r="P135" i="1" s="1"/>
  <c r="E136" i="1"/>
  <c r="P136" i="1" s="1"/>
  <c r="W136" i="1" s="1"/>
  <c r="E137" i="1"/>
  <c r="P137" i="1" s="1"/>
  <c r="E138" i="1"/>
  <c r="P138" i="1" s="1"/>
  <c r="E139" i="1"/>
  <c r="P139" i="1" s="1"/>
  <c r="E140" i="1"/>
  <c r="P140" i="1" s="1"/>
  <c r="Y140" i="1" s="1"/>
  <c r="E141" i="1"/>
  <c r="P141" i="1" s="1"/>
  <c r="E142" i="1"/>
  <c r="P142" i="1" s="1"/>
  <c r="S142" i="1" s="1"/>
  <c r="E143" i="1"/>
  <c r="P143" i="1" s="1"/>
  <c r="W143" i="1" s="1"/>
  <c r="E144" i="1"/>
  <c r="P144" i="1" s="1"/>
  <c r="E145" i="1"/>
  <c r="P145" i="1" s="1"/>
  <c r="E146" i="1"/>
  <c r="P146" i="1" s="1"/>
  <c r="S146" i="1" s="1"/>
  <c r="E147" i="1"/>
  <c r="P147" i="1" s="1"/>
  <c r="E148" i="1"/>
  <c r="P148" i="1" s="1"/>
  <c r="U148" i="1" s="1"/>
  <c r="E149" i="1"/>
  <c r="P149" i="1" s="1"/>
  <c r="S149" i="1" s="1"/>
  <c r="E150" i="1"/>
  <c r="E151" i="1"/>
  <c r="P151" i="1" s="1"/>
  <c r="V151" i="1" s="1"/>
  <c r="E152" i="1"/>
  <c r="P152" i="1" s="1"/>
  <c r="Z152" i="1" s="1"/>
  <c r="E153" i="1"/>
  <c r="E154" i="1"/>
  <c r="P154" i="1" s="1"/>
  <c r="R154" i="1" s="1"/>
  <c r="E155" i="1"/>
  <c r="P155" i="1" s="1"/>
  <c r="R155" i="1" s="1"/>
  <c r="E156" i="1"/>
  <c r="E157" i="1"/>
  <c r="P157" i="1" s="1"/>
  <c r="T157" i="1" s="1"/>
  <c r="E158" i="1"/>
  <c r="P158" i="1" s="1"/>
  <c r="E159" i="1"/>
  <c r="E160" i="1"/>
  <c r="P160" i="1" s="1"/>
  <c r="U160" i="1" s="1"/>
  <c r="E161" i="1"/>
  <c r="P161" i="1" s="1"/>
  <c r="R161" i="1" s="1"/>
  <c r="E162" i="1"/>
  <c r="P162" i="1" s="1"/>
  <c r="E163" i="1"/>
  <c r="P163" i="1" s="1"/>
  <c r="Z163" i="1" s="1"/>
  <c r="E164" i="1"/>
  <c r="P164" i="1" s="1"/>
  <c r="E165" i="1"/>
  <c r="P165" i="1" s="1"/>
  <c r="E166" i="1"/>
  <c r="P166" i="1" s="1"/>
  <c r="X166" i="1" s="1"/>
  <c r="E167" i="1"/>
  <c r="P167" i="1" s="1"/>
  <c r="R167" i="1" s="1"/>
  <c r="E168" i="1"/>
  <c r="P168" i="1" s="1"/>
  <c r="E169" i="1"/>
  <c r="P169" i="1" s="1"/>
  <c r="R169" i="1" s="1"/>
  <c r="E170" i="1"/>
  <c r="P170" i="1" s="1"/>
  <c r="S170" i="1" s="1"/>
  <c r="E171" i="1"/>
  <c r="P171" i="1" s="1"/>
  <c r="E172" i="1"/>
  <c r="P172" i="1" s="1"/>
  <c r="S172" i="1" s="1"/>
  <c r="E173" i="1"/>
  <c r="E174" i="1"/>
  <c r="P174" i="1" s="1"/>
  <c r="E175" i="1"/>
  <c r="P175" i="1" s="1"/>
  <c r="Z175" i="1" s="1"/>
  <c r="E176" i="1"/>
  <c r="E177" i="1"/>
  <c r="P177" i="1" s="1"/>
  <c r="E178" i="1"/>
  <c r="P178" i="1" s="1"/>
  <c r="U178" i="1" s="1"/>
  <c r="E179" i="1"/>
  <c r="E180" i="1"/>
  <c r="P180" i="1" s="1"/>
  <c r="E181" i="1"/>
  <c r="P181" i="1" s="1"/>
  <c r="T181" i="1" s="1"/>
  <c r="E182" i="1"/>
  <c r="P182" i="1" s="1"/>
  <c r="W182" i="1" s="1"/>
  <c r="E183" i="1"/>
  <c r="P183" i="1" s="1"/>
  <c r="E184" i="1"/>
  <c r="P184" i="1" s="1"/>
  <c r="T184" i="1" s="1"/>
  <c r="E185" i="1"/>
  <c r="P185" i="1" s="1"/>
  <c r="E186" i="1"/>
  <c r="P186" i="1" s="1"/>
  <c r="E187" i="1"/>
  <c r="P187" i="1" s="1"/>
  <c r="R187" i="1" s="1"/>
  <c r="E188" i="1"/>
  <c r="P188" i="1" s="1"/>
  <c r="Y188" i="1" s="1"/>
  <c r="E189" i="1"/>
  <c r="E190" i="1"/>
  <c r="P190" i="1" s="1"/>
  <c r="R190" i="1" s="1"/>
  <c r="E191" i="1"/>
  <c r="P191" i="1" s="1"/>
  <c r="R191" i="1" s="1"/>
  <c r="E192" i="1"/>
  <c r="P192" i="1" s="1"/>
  <c r="E193" i="1"/>
  <c r="P193" i="1" s="1"/>
  <c r="S193" i="1" s="1"/>
  <c r="E194" i="1"/>
  <c r="E195" i="1"/>
  <c r="E196" i="1"/>
  <c r="P196" i="1" s="1"/>
  <c r="R196" i="1" s="1"/>
  <c r="E197" i="1"/>
  <c r="P197" i="1" s="1"/>
  <c r="E198" i="1"/>
  <c r="P198" i="1" s="1"/>
  <c r="E199" i="1"/>
  <c r="P199" i="1" s="1"/>
  <c r="R199" i="1" s="1"/>
  <c r="E200" i="1"/>
  <c r="P200" i="1" s="1"/>
  <c r="E201" i="1"/>
  <c r="P201" i="1" s="1"/>
  <c r="E202" i="1"/>
  <c r="P202" i="1" s="1"/>
  <c r="T202" i="1" s="1"/>
  <c r="E203" i="1"/>
  <c r="P203" i="1" s="1"/>
  <c r="S203" i="1" s="1"/>
  <c r="E204" i="1"/>
  <c r="P204" i="1" s="1"/>
  <c r="E205" i="1"/>
  <c r="E206" i="1"/>
  <c r="P206" i="1" s="1"/>
  <c r="T206" i="1" s="1"/>
  <c r="E207" i="1"/>
  <c r="P207" i="1" s="1"/>
  <c r="E208" i="1"/>
  <c r="P208" i="1" s="1"/>
  <c r="W208" i="1" s="1"/>
  <c r="E209" i="1"/>
  <c r="P209" i="1" s="1"/>
  <c r="S209" i="1" s="1"/>
  <c r="E210" i="1"/>
  <c r="P210" i="1" s="1"/>
  <c r="E211" i="1"/>
  <c r="P211" i="1" s="1"/>
  <c r="V211" i="1" s="1"/>
  <c r="E212" i="1"/>
  <c r="P212" i="1" s="1"/>
  <c r="E213" i="1"/>
  <c r="E214" i="1"/>
  <c r="P214" i="1" s="1"/>
  <c r="Y214" i="1" s="1"/>
  <c r="E215" i="1"/>
  <c r="P215" i="1" s="1"/>
  <c r="S215" i="1" s="1"/>
  <c r="E216" i="1"/>
  <c r="E217" i="1"/>
  <c r="P217" i="1" s="1"/>
  <c r="R217" i="1" s="1"/>
  <c r="E218" i="1"/>
  <c r="P218" i="1" s="1"/>
  <c r="U218" i="1" s="1"/>
  <c r="E219" i="1"/>
  <c r="E220" i="1"/>
  <c r="P220" i="1" s="1"/>
  <c r="R220" i="1" s="1"/>
  <c r="E221" i="1"/>
  <c r="P221" i="1" s="1"/>
  <c r="E222" i="1"/>
  <c r="E223" i="1"/>
  <c r="P223" i="1" s="1"/>
  <c r="E224" i="1"/>
  <c r="P224" i="1" s="1"/>
  <c r="E225" i="1"/>
  <c r="P225" i="1" s="1"/>
  <c r="E226" i="1"/>
  <c r="E227" i="1"/>
  <c r="P227" i="1" s="1"/>
  <c r="R227" i="1" s="1"/>
  <c r="E228" i="1"/>
  <c r="P228" i="1" s="1"/>
  <c r="E229" i="1"/>
  <c r="P229" i="1" s="1"/>
  <c r="R229" i="1" s="1"/>
  <c r="E230" i="1"/>
  <c r="E231" i="1"/>
  <c r="E232" i="1"/>
  <c r="P232" i="1" s="1"/>
  <c r="X232" i="1" s="1"/>
  <c r="E233" i="1"/>
  <c r="P233" i="1" s="1"/>
  <c r="E234" i="1"/>
  <c r="P234" i="1" s="1"/>
  <c r="E235" i="1"/>
  <c r="P235" i="1" s="1"/>
  <c r="E236" i="1"/>
  <c r="P236" i="1" s="1"/>
  <c r="E237" i="1"/>
  <c r="P237" i="1" s="1"/>
  <c r="E238" i="1"/>
  <c r="P238" i="1" s="1"/>
  <c r="X238" i="1" s="1"/>
  <c r="E239" i="1"/>
  <c r="P239" i="1" s="1"/>
  <c r="W239" i="1" s="1"/>
  <c r="E240" i="1"/>
  <c r="P240" i="1" s="1"/>
  <c r="E241" i="1"/>
  <c r="P241" i="1" s="1"/>
  <c r="T241" i="1" s="1"/>
  <c r="E242" i="1"/>
  <c r="P242" i="1" s="1"/>
  <c r="V242" i="1" s="1"/>
  <c r="E243" i="1"/>
  <c r="P243" i="1" s="1"/>
  <c r="E244" i="1"/>
  <c r="P244" i="1" s="1"/>
  <c r="S244" i="1" s="1"/>
  <c r="E245" i="1"/>
  <c r="P245" i="1" s="1"/>
  <c r="W245" i="1" s="1"/>
  <c r="E246" i="1"/>
  <c r="P246" i="1" s="1"/>
  <c r="E247" i="1"/>
  <c r="P247" i="1" s="1"/>
  <c r="E248" i="1"/>
  <c r="P248" i="1" s="1"/>
  <c r="U248" i="1" s="1"/>
  <c r="E249" i="1"/>
  <c r="P249" i="1" s="1"/>
  <c r="E250" i="1"/>
  <c r="P250" i="1" s="1"/>
  <c r="Y250" i="1" s="1"/>
  <c r="E251" i="1"/>
  <c r="P251" i="1" s="1"/>
  <c r="S251" i="1" s="1"/>
  <c r="E252" i="1"/>
  <c r="P252" i="1" s="1"/>
  <c r="E253" i="1"/>
  <c r="P253" i="1" s="1"/>
  <c r="R253" i="1" s="1"/>
  <c r="E254" i="1"/>
  <c r="P254" i="1" s="1"/>
  <c r="Y254" i="1" s="1"/>
  <c r="E255" i="1"/>
  <c r="P255" i="1" s="1"/>
  <c r="E256" i="1"/>
  <c r="P256" i="1" s="1"/>
  <c r="U256" i="1" s="1"/>
  <c r="E257" i="1"/>
  <c r="P257" i="1" s="1"/>
  <c r="T257" i="1" s="1"/>
  <c r="E258" i="1"/>
  <c r="P258" i="1" s="1"/>
  <c r="E259" i="1"/>
  <c r="P259" i="1" s="1"/>
  <c r="E260" i="1"/>
  <c r="P260" i="1" s="1"/>
  <c r="V260" i="1" s="1"/>
  <c r="E261" i="1"/>
  <c r="E262" i="1"/>
  <c r="P262" i="1" s="1"/>
  <c r="S262" i="1" s="1"/>
  <c r="E263" i="1"/>
  <c r="P263" i="1" s="1"/>
  <c r="U263" i="1" s="1"/>
  <c r="E264" i="1"/>
  <c r="P264" i="1" s="1"/>
  <c r="E265" i="1"/>
  <c r="E266" i="1"/>
  <c r="P266" i="1" s="1"/>
  <c r="T266" i="1" s="1"/>
  <c r="E267" i="1"/>
  <c r="E268" i="1"/>
  <c r="P268" i="1" s="1"/>
  <c r="U268" i="1" s="1"/>
  <c r="E269" i="1"/>
  <c r="P269" i="1" s="1"/>
  <c r="S269" i="1" s="1"/>
  <c r="E270" i="1"/>
  <c r="P270" i="1" s="1"/>
  <c r="E271" i="1"/>
  <c r="P271" i="1" s="1"/>
  <c r="E272" i="1"/>
  <c r="P272" i="1" s="1"/>
  <c r="U272" i="1" s="1"/>
  <c r="E273" i="1"/>
  <c r="P273" i="1" s="1"/>
  <c r="E274" i="1"/>
  <c r="P274" i="1" s="1"/>
  <c r="S274" i="1" s="1"/>
  <c r="E275" i="1"/>
  <c r="P275" i="1" s="1"/>
  <c r="T275" i="1" s="1"/>
  <c r="E276" i="1"/>
  <c r="P276" i="1" s="1"/>
  <c r="E277" i="1"/>
  <c r="P277" i="1" s="1"/>
  <c r="V277" i="1" s="1"/>
  <c r="E278" i="1"/>
  <c r="P278" i="1" s="1"/>
  <c r="V278" i="1" s="1"/>
  <c r="E279" i="1"/>
  <c r="P279" i="1" s="1"/>
  <c r="E280" i="1"/>
  <c r="P280" i="1" s="1"/>
  <c r="S280" i="1" s="1"/>
  <c r="E281" i="1"/>
  <c r="P281" i="1" s="1"/>
  <c r="R281" i="1" s="1"/>
  <c r="E282" i="1"/>
  <c r="P282" i="1" s="1"/>
  <c r="E283" i="1"/>
  <c r="P283" i="1" s="1"/>
  <c r="X283" i="1" s="1"/>
  <c r="E284" i="1"/>
  <c r="P284" i="1" s="1"/>
  <c r="E285" i="1"/>
  <c r="P285" i="1" s="1"/>
  <c r="E286" i="1"/>
  <c r="P286" i="1" s="1"/>
  <c r="W286" i="1" s="1"/>
  <c r="E287" i="1"/>
  <c r="P287" i="1" s="1"/>
  <c r="W287" i="1" s="1"/>
  <c r="E288" i="1"/>
  <c r="P288" i="1" s="1"/>
  <c r="E289" i="1"/>
  <c r="P289" i="1" s="1"/>
  <c r="T289" i="1" s="1"/>
  <c r="E290" i="1"/>
  <c r="P290" i="1" s="1"/>
  <c r="X290" i="1" s="1"/>
  <c r="E291" i="1"/>
  <c r="P291" i="1" s="1"/>
  <c r="E292" i="1"/>
  <c r="P292" i="1" s="1"/>
  <c r="T292" i="1" s="1"/>
  <c r="E293" i="1"/>
  <c r="E294" i="1"/>
  <c r="E295" i="1"/>
  <c r="E296" i="1"/>
  <c r="P296" i="1" s="1"/>
  <c r="E297" i="1"/>
  <c r="P297" i="1" s="1"/>
  <c r="E298" i="1"/>
  <c r="P298" i="1" s="1"/>
  <c r="S298" i="1" s="1"/>
  <c r="E299" i="1"/>
  <c r="P299" i="1" s="1"/>
  <c r="R299" i="1" s="1"/>
  <c r="E300" i="1"/>
  <c r="P300" i="1" s="1"/>
  <c r="E301" i="1"/>
  <c r="P301" i="1" s="1"/>
  <c r="V301" i="1" s="1"/>
  <c r="E302" i="1"/>
  <c r="P302" i="1" s="1"/>
  <c r="E303" i="1"/>
  <c r="E304" i="1"/>
  <c r="P304" i="1" s="1"/>
  <c r="V304" i="1" s="1"/>
  <c r="E305" i="1"/>
  <c r="P305" i="1" s="1"/>
  <c r="E306" i="1"/>
  <c r="P306" i="1" s="1"/>
  <c r="E307" i="1"/>
  <c r="P307" i="1" s="1"/>
  <c r="E308" i="1"/>
  <c r="P308" i="1" s="1"/>
  <c r="E309" i="1"/>
  <c r="P309" i="1" s="1"/>
  <c r="E310" i="1"/>
  <c r="P310" i="1" s="1"/>
  <c r="W310" i="1" s="1"/>
  <c r="E311" i="1"/>
  <c r="P311" i="1" s="1"/>
  <c r="W311" i="1" s="1"/>
  <c r="E312" i="1"/>
  <c r="P312" i="1" s="1"/>
  <c r="E313" i="1"/>
  <c r="P313" i="1" s="1"/>
  <c r="S313" i="1" s="1"/>
  <c r="E314" i="1"/>
  <c r="P314" i="1" s="1"/>
  <c r="U314" i="1" s="1"/>
  <c r="E315" i="1"/>
  <c r="P315" i="1" s="1"/>
  <c r="E316" i="1"/>
  <c r="P316" i="1" s="1"/>
  <c r="V316" i="1" s="1"/>
  <c r="E317" i="1"/>
  <c r="P317" i="1" s="1"/>
  <c r="X317" i="1" s="1"/>
  <c r="E318" i="1"/>
  <c r="P318" i="1" s="1"/>
  <c r="E319" i="1"/>
  <c r="P319" i="1" s="1"/>
  <c r="E320" i="1"/>
  <c r="P320" i="1" s="1"/>
  <c r="V320" i="1" s="1"/>
  <c r="E321" i="1"/>
  <c r="P321" i="1" s="1"/>
  <c r="E322" i="1"/>
  <c r="P322" i="1" s="1"/>
  <c r="R322" i="1" s="1"/>
  <c r="E323" i="1"/>
  <c r="P323" i="1" s="1"/>
  <c r="V323" i="1" s="1"/>
  <c r="E324" i="1"/>
  <c r="P324" i="1" s="1"/>
  <c r="E325" i="1"/>
  <c r="P325" i="1" s="1"/>
  <c r="T325" i="1" s="1"/>
  <c r="E326" i="1"/>
  <c r="P326" i="1" s="1"/>
  <c r="T326" i="1" s="1"/>
  <c r="E327" i="1"/>
  <c r="P327" i="1" s="1"/>
  <c r="E328" i="1"/>
  <c r="P328" i="1" s="1"/>
  <c r="T328" i="1" s="1"/>
  <c r="E329" i="1"/>
  <c r="P329" i="1" s="1"/>
  <c r="T329" i="1" s="1"/>
  <c r="E330" i="1"/>
  <c r="E331" i="1"/>
  <c r="P331" i="1" s="1"/>
  <c r="E332" i="1"/>
  <c r="P332" i="1" s="1"/>
  <c r="E333" i="1"/>
  <c r="P333" i="1" s="1"/>
  <c r="E334" i="1"/>
  <c r="E335" i="1"/>
  <c r="P335" i="1" s="1"/>
  <c r="U335" i="1" s="1"/>
  <c r="E336" i="1"/>
  <c r="P336" i="1" s="1"/>
  <c r="E337" i="1"/>
  <c r="P337" i="1" s="1"/>
  <c r="X337" i="1" s="1"/>
  <c r="E338" i="1"/>
  <c r="P338" i="1" s="1"/>
  <c r="Y338" i="1" s="1"/>
  <c r="E339" i="1"/>
  <c r="E340" i="1"/>
  <c r="P340" i="1" s="1"/>
  <c r="T340" i="1" s="1"/>
  <c r="E341" i="1"/>
  <c r="P341" i="1" s="1"/>
  <c r="E342" i="1"/>
  <c r="P342" i="1" s="1"/>
  <c r="E343" i="1"/>
  <c r="P343" i="1" s="1"/>
  <c r="E344" i="1"/>
  <c r="P344" i="1" s="1"/>
  <c r="U344" i="1" s="1"/>
  <c r="E345" i="1"/>
  <c r="P345" i="1" s="1"/>
  <c r="E346" i="1"/>
  <c r="P346" i="1" s="1"/>
  <c r="T346" i="1" s="1"/>
  <c r="E347" i="1"/>
  <c r="P347" i="1" s="1"/>
  <c r="X347" i="1" s="1"/>
  <c r="E348" i="1"/>
  <c r="P348" i="1" s="1"/>
  <c r="E349" i="1"/>
  <c r="P349" i="1" s="1"/>
  <c r="R349" i="1" s="1"/>
  <c r="E350" i="1"/>
  <c r="P350" i="1" s="1"/>
  <c r="T350" i="1" s="1"/>
  <c r="E351" i="1"/>
  <c r="P351" i="1" s="1"/>
  <c r="E352" i="1"/>
  <c r="P352" i="1" s="1"/>
  <c r="U352" i="1" s="1"/>
  <c r="E353" i="1"/>
  <c r="P353" i="1" s="1"/>
  <c r="R353" i="1" s="1"/>
  <c r="E354" i="1"/>
  <c r="P354" i="1" s="1"/>
  <c r="E355" i="1"/>
  <c r="P355" i="1" s="1"/>
  <c r="E356" i="1"/>
  <c r="P356" i="1" s="1"/>
  <c r="R356" i="1" s="1"/>
  <c r="E357" i="1"/>
  <c r="P357" i="1" s="1"/>
  <c r="E358" i="1"/>
  <c r="P358" i="1" s="1"/>
  <c r="S358" i="1" s="1"/>
  <c r="E359" i="1"/>
  <c r="P359" i="1" s="1"/>
  <c r="S359" i="1" s="1"/>
  <c r="E360" i="1"/>
  <c r="P360" i="1" s="1"/>
  <c r="E361" i="1"/>
  <c r="P361" i="1" s="1"/>
  <c r="X361" i="1" s="1"/>
  <c r="E362" i="1"/>
  <c r="P362" i="1" s="1"/>
  <c r="V362" i="1" s="1"/>
  <c r="E363" i="1"/>
  <c r="P363" i="1" s="1"/>
  <c r="E364" i="1"/>
  <c r="P364" i="1" s="1"/>
  <c r="V364" i="1" s="1"/>
  <c r="E365" i="1"/>
  <c r="P365" i="1" s="1"/>
  <c r="X365" i="1" s="1"/>
  <c r="E366" i="1"/>
  <c r="E367" i="1"/>
  <c r="P367" i="1" s="1"/>
  <c r="V367" i="1" s="1"/>
  <c r="E368" i="1"/>
  <c r="P368" i="1" s="1"/>
  <c r="E369" i="1"/>
  <c r="P369" i="1" s="1"/>
  <c r="E370" i="1"/>
  <c r="E371" i="1"/>
  <c r="P371" i="1" s="1"/>
  <c r="S371" i="1" s="1"/>
  <c r="E372" i="1"/>
  <c r="P372" i="1" s="1"/>
  <c r="E373" i="1"/>
  <c r="P373" i="1" s="1"/>
  <c r="S373" i="1" s="1"/>
  <c r="E374" i="1"/>
  <c r="P374" i="1" s="1"/>
  <c r="T374" i="1" s="1"/>
  <c r="E375" i="1"/>
  <c r="E4" i="1"/>
  <c r="P4" i="1" s="1"/>
  <c r="S4" i="1" s="1"/>
  <c r="C8" i="5"/>
  <c r="C7" i="5"/>
  <c r="C6" i="5"/>
  <c r="C5" i="5"/>
  <c r="C4" i="5"/>
  <c r="C3" i="5"/>
  <c r="B18" i="5"/>
  <c r="B17" i="5"/>
  <c r="B16" i="5"/>
  <c r="B15" i="5"/>
  <c r="B14" i="5"/>
  <c r="B13" i="5"/>
  <c r="P334" i="1" l="1"/>
  <c r="Y334" i="1" s="1"/>
  <c r="P295" i="1"/>
  <c r="X295" i="1" s="1"/>
  <c r="P110" i="1"/>
  <c r="T110" i="1" s="1"/>
  <c r="P111" i="1"/>
  <c r="T111" i="1" s="1"/>
  <c r="P63" i="1"/>
  <c r="Y63" i="1" s="1"/>
  <c r="P265" i="1"/>
  <c r="T265" i="1" s="1"/>
  <c r="P205" i="1"/>
  <c r="U205" i="1" s="1"/>
  <c r="P219" i="1"/>
  <c r="T219" i="1" s="1"/>
  <c r="P156" i="1"/>
  <c r="R156" i="1" s="1"/>
  <c r="P216" i="1"/>
  <c r="R216" i="1" s="1"/>
  <c r="P176" i="1"/>
  <c r="V176" i="1" s="1"/>
  <c r="P194" i="1"/>
  <c r="V194" i="1" s="1"/>
  <c r="R282" i="1"/>
  <c r="W246" i="1"/>
  <c r="S174" i="1"/>
  <c r="S102" i="1"/>
  <c r="W30" i="1"/>
  <c r="P33" i="1"/>
  <c r="X33" i="1" s="1"/>
  <c r="P213" i="1"/>
  <c r="R213" i="1" s="1"/>
  <c r="T351" i="1"/>
  <c r="V291" i="1"/>
  <c r="R279" i="1"/>
  <c r="R255" i="1"/>
  <c r="T243" i="1"/>
  <c r="Z207" i="1"/>
  <c r="S183" i="1"/>
  <c r="S171" i="1"/>
  <c r="W147" i="1"/>
  <c r="Z135" i="1"/>
  <c r="T99" i="1"/>
  <c r="Y75" i="1"/>
  <c r="R39" i="1"/>
  <c r="V27" i="1"/>
  <c r="P42" i="1"/>
  <c r="Y42" i="1" s="1"/>
  <c r="P78" i="1"/>
  <c r="Y78" i="1" s="1"/>
  <c r="P150" i="1"/>
  <c r="S150" i="1" s="1"/>
  <c r="P222" i="1"/>
  <c r="S222" i="1" s="1"/>
  <c r="P294" i="1"/>
  <c r="R294" i="1" s="1"/>
  <c r="P330" i="1"/>
  <c r="W330" i="1" s="1"/>
  <c r="P366" i="1"/>
  <c r="T366" i="1" s="1"/>
  <c r="V363" i="1"/>
  <c r="P9" i="1"/>
  <c r="U9" i="1" s="1"/>
  <c r="P81" i="1"/>
  <c r="Z81" i="1" s="1"/>
  <c r="P117" i="1"/>
  <c r="T117" i="1" s="1"/>
  <c r="P153" i="1"/>
  <c r="U153" i="1" s="1"/>
  <c r="P189" i="1"/>
  <c r="S189" i="1" s="1"/>
  <c r="P261" i="1"/>
  <c r="T261" i="1" s="1"/>
  <c r="P179" i="1"/>
  <c r="R179" i="1" s="1"/>
  <c r="S372" i="1"/>
  <c r="X360" i="1"/>
  <c r="R348" i="1"/>
  <c r="U336" i="1"/>
  <c r="T324" i="1"/>
  <c r="Z312" i="1"/>
  <c r="T300" i="1"/>
  <c r="T288" i="1"/>
  <c r="S276" i="1"/>
  <c r="R264" i="1"/>
  <c r="V252" i="1"/>
  <c r="U240" i="1"/>
  <c r="R228" i="1"/>
  <c r="U204" i="1"/>
  <c r="R192" i="1"/>
  <c r="T180" i="1"/>
  <c r="R168" i="1"/>
  <c r="V144" i="1"/>
  <c r="S132" i="1"/>
  <c r="T120" i="1"/>
  <c r="R108" i="1"/>
  <c r="S96" i="1"/>
  <c r="T84" i="1"/>
  <c r="T72" i="1"/>
  <c r="W60" i="1"/>
  <c r="R48" i="1"/>
  <c r="T36" i="1"/>
  <c r="R24" i="1"/>
  <c r="S12" i="1"/>
  <c r="P15" i="1"/>
  <c r="R15" i="1" s="1"/>
  <c r="P51" i="1"/>
  <c r="R51" i="1" s="1"/>
  <c r="P123" i="1"/>
  <c r="U123" i="1" s="1"/>
  <c r="P159" i="1"/>
  <c r="Z159" i="1" s="1"/>
  <c r="P195" i="1"/>
  <c r="T195" i="1" s="1"/>
  <c r="P231" i="1"/>
  <c r="X231" i="1" s="1"/>
  <c r="P267" i="1"/>
  <c r="Z267" i="1" s="1"/>
  <c r="P303" i="1"/>
  <c r="Y303" i="1" s="1"/>
  <c r="P339" i="1"/>
  <c r="U339" i="1" s="1"/>
  <c r="P375" i="1"/>
  <c r="R375" i="1" s="1"/>
  <c r="R309" i="1"/>
  <c r="Y273" i="1"/>
  <c r="S237" i="1"/>
  <c r="T165" i="1"/>
  <c r="R129" i="1"/>
  <c r="U93" i="1"/>
  <c r="S21" i="1"/>
  <c r="R345" i="1"/>
  <c r="W342" i="1"/>
  <c r="T306" i="1"/>
  <c r="R162" i="1"/>
  <c r="T90" i="1"/>
  <c r="T54" i="1"/>
  <c r="T270" i="1"/>
  <c r="S198" i="1"/>
  <c r="R18" i="1"/>
  <c r="P293" i="1"/>
  <c r="W293" i="1" s="1"/>
  <c r="P173" i="1"/>
  <c r="S173" i="1" s="1"/>
  <c r="P11" i="1"/>
  <c r="U11" i="1" s="1"/>
  <c r="P10" i="1"/>
  <c r="Y10" i="1" s="1"/>
  <c r="P71" i="1"/>
  <c r="S71" i="1" s="1"/>
  <c r="R327" i="1"/>
  <c r="T315" i="1"/>
  <c r="P226" i="1"/>
  <c r="W226" i="1" s="1"/>
  <c r="P370" i="1"/>
  <c r="X370" i="1" s="1"/>
  <c r="S256" i="1"/>
  <c r="T172" i="1"/>
  <c r="P86" i="1"/>
  <c r="Z86" i="1" s="1"/>
  <c r="P230" i="1"/>
  <c r="W230" i="1" s="1"/>
  <c r="U214" i="1"/>
  <c r="V290" i="1"/>
  <c r="U220" i="1"/>
  <c r="V184" i="1"/>
  <c r="R160" i="1"/>
  <c r="W100" i="1"/>
  <c r="V136" i="1"/>
  <c r="V40" i="1"/>
  <c r="R112" i="1"/>
  <c r="X323" i="1"/>
  <c r="R371" i="1"/>
  <c r="S268" i="1"/>
  <c r="X274" i="1"/>
  <c r="S232" i="1"/>
  <c r="W88" i="1"/>
  <c r="R364" i="1"/>
  <c r="S190" i="1"/>
  <c r="U112" i="1"/>
  <c r="U196" i="1"/>
  <c r="U124" i="1"/>
  <c r="W64" i="1"/>
  <c r="S112" i="1"/>
  <c r="U22" i="1"/>
  <c r="W28" i="1"/>
  <c r="U16" i="1"/>
  <c r="R208" i="1"/>
  <c r="T316" i="1"/>
  <c r="T256" i="1"/>
  <c r="V232" i="1"/>
  <c r="Y352" i="1"/>
  <c r="R292" i="1"/>
  <c r="S88" i="1"/>
  <c r="T244" i="1"/>
  <c r="V204" i="1"/>
  <c r="Y280" i="1"/>
  <c r="R96" i="1"/>
  <c r="R95" i="1"/>
  <c r="T70" i="1"/>
  <c r="R238" i="1"/>
  <c r="R34" i="1"/>
  <c r="S38" i="1"/>
  <c r="T64" i="1"/>
  <c r="U76" i="1"/>
  <c r="V22" i="1"/>
  <c r="X209" i="1"/>
  <c r="U132" i="1"/>
  <c r="R286" i="1"/>
  <c r="R215" i="1"/>
  <c r="S324" i="1"/>
  <c r="T352" i="1"/>
  <c r="U64" i="1"/>
  <c r="V16" i="1"/>
  <c r="X196" i="1"/>
  <c r="R214" i="1"/>
  <c r="S304" i="1"/>
  <c r="T347" i="1"/>
  <c r="U322" i="1"/>
  <c r="U23" i="1"/>
  <c r="W256" i="1"/>
  <c r="Y207" i="1"/>
  <c r="S279" i="1"/>
  <c r="T327" i="1"/>
  <c r="U299" i="1"/>
  <c r="U298" i="1"/>
  <c r="R372" i="1"/>
  <c r="R183" i="1"/>
  <c r="U292" i="1"/>
  <c r="V310" i="1"/>
  <c r="W70" i="1"/>
  <c r="Y208" i="1"/>
  <c r="S312" i="1"/>
  <c r="S37" i="1"/>
  <c r="S107" i="1"/>
  <c r="R82" i="1"/>
  <c r="S310" i="1"/>
  <c r="S252" i="1"/>
  <c r="S168" i="1"/>
  <c r="S35" i="1"/>
  <c r="T228" i="1"/>
  <c r="T155" i="1"/>
  <c r="T59" i="1"/>
  <c r="U12" i="1"/>
  <c r="V287" i="1"/>
  <c r="V143" i="1"/>
  <c r="W227" i="1"/>
  <c r="R269" i="1"/>
  <c r="R203" i="1"/>
  <c r="S167" i="1"/>
  <c r="S23" i="1"/>
  <c r="T227" i="1"/>
  <c r="T53" i="1"/>
  <c r="U180" i="1"/>
  <c r="Y202" i="1"/>
  <c r="R346" i="1"/>
  <c r="R268" i="1"/>
  <c r="R202" i="1"/>
  <c r="R136" i="1"/>
  <c r="R64" i="1"/>
  <c r="S351" i="1"/>
  <c r="S299" i="1"/>
  <c r="S240" i="1"/>
  <c r="S166" i="1"/>
  <c r="S85" i="1"/>
  <c r="S22" i="1"/>
  <c r="T311" i="1"/>
  <c r="T144" i="1"/>
  <c r="T40" i="1"/>
  <c r="U275" i="1"/>
  <c r="U84" i="1"/>
  <c r="V359" i="1"/>
  <c r="V280" i="1"/>
  <c r="V132" i="1"/>
  <c r="W350" i="1"/>
  <c r="W199" i="1"/>
  <c r="W35" i="1"/>
  <c r="X160" i="1"/>
  <c r="Y172" i="1"/>
  <c r="R23" i="1"/>
  <c r="S311" i="1"/>
  <c r="T168" i="1"/>
  <c r="U203" i="1"/>
  <c r="U120" i="1"/>
  <c r="V288" i="1"/>
  <c r="V180" i="1"/>
  <c r="R270" i="1"/>
  <c r="R143" i="1"/>
  <c r="R359" i="1"/>
  <c r="R142" i="1"/>
  <c r="S241" i="1"/>
  <c r="T312" i="1"/>
  <c r="T154" i="1"/>
  <c r="U276" i="1"/>
  <c r="V286" i="1"/>
  <c r="W204" i="1"/>
  <c r="W36" i="1"/>
  <c r="R340" i="1"/>
  <c r="R252" i="1"/>
  <c r="R121" i="1"/>
  <c r="R61" i="1"/>
  <c r="S348" i="1"/>
  <c r="S238" i="1"/>
  <c r="S84" i="1"/>
  <c r="S16" i="1"/>
  <c r="T301" i="1"/>
  <c r="T215" i="1"/>
  <c r="T124" i="1"/>
  <c r="T22" i="1"/>
  <c r="U83" i="1"/>
  <c r="V352" i="1"/>
  <c r="V263" i="1"/>
  <c r="V119" i="1"/>
  <c r="W349" i="1"/>
  <c r="X155" i="1"/>
  <c r="Y133" i="1"/>
  <c r="W252" i="1"/>
  <c r="W240" i="1"/>
  <c r="Z360" i="1"/>
  <c r="T4" i="1"/>
  <c r="R312" i="1"/>
  <c r="R245" i="1"/>
  <c r="R181" i="1"/>
  <c r="R102" i="1"/>
  <c r="S340" i="1"/>
  <c r="S130" i="1"/>
  <c r="S70" i="1"/>
  <c r="T371" i="1"/>
  <c r="U361" i="1"/>
  <c r="U239" i="1"/>
  <c r="U60" i="1"/>
  <c r="V328" i="1"/>
  <c r="V228" i="1"/>
  <c r="W316" i="1"/>
  <c r="W167" i="1"/>
  <c r="X23" i="1"/>
  <c r="S108" i="1"/>
  <c r="R83" i="1"/>
  <c r="S36" i="1"/>
  <c r="R324" i="1"/>
  <c r="R251" i="1"/>
  <c r="R120" i="1"/>
  <c r="R60" i="1"/>
  <c r="S347" i="1"/>
  <c r="S288" i="1"/>
  <c r="S154" i="1"/>
  <c r="S82" i="1"/>
  <c r="T299" i="1"/>
  <c r="T214" i="1"/>
  <c r="T121" i="1"/>
  <c r="U252" i="1"/>
  <c r="U168" i="1"/>
  <c r="V336" i="1"/>
  <c r="V251" i="1"/>
  <c r="V107" i="1"/>
  <c r="W348" i="1"/>
  <c r="W193" i="1"/>
  <c r="T203" i="1"/>
  <c r="T12" i="1"/>
  <c r="V335" i="1"/>
  <c r="Z348" i="1"/>
  <c r="V4" i="1"/>
  <c r="R311" i="1"/>
  <c r="R244" i="1"/>
  <c r="R180" i="1"/>
  <c r="R99" i="1"/>
  <c r="R47" i="1"/>
  <c r="S338" i="1"/>
  <c r="S275" i="1"/>
  <c r="S207" i="1"/>
  <c r="S125" i="1"/>
  <c r="S64" i="1"/>
  <c r="T95" i="1"/>
  <c r="U238" i="1"/>
  <c r="U146" i="1"/>
  <c r="V324" i="1"/>
  <c r="V215" i="1"/>
  <c r="V64" i="1"/>
  <c r="W279" i="1"/>
  <c r="X335" i="1"/>
  <c r="Z240" i="1"/>
  <c r="V36" i="1"/>
  <c r="R246" i="1"/>
  <c r="S346" i="1"/>
  <c r="S228" i="1"/>
  <c r="T298" i="1"/>
  <c r="U250" i="1"/>
  <c r="U167" i="1"/>
  <c r="V95" i="1"/>
  <c r="W335" i="1"/>
  <c r="W190" i="1"/>
  <c r="Y4" i="1"/>
  <c r="R298" i="1"/>
  <c r="R239" i="1"/>
  <c r="R97" i="1"/>
  <c r="R46" i="1"/>
  <c r="S328" i="1"/>
  <c r="S204" i="1"/>
  <c r="S124" i="1"/>
  <c r="S46" i="1"/>
  <c r="T360" i="1"/>
  <c r="T264" i="1"/>
  <c r="T76" i="1"/>
  <c r="U340" i="1"/>
  <c r="U228" i="1"/>
  <c r="U136" i="1"/>
  <c r="U38" i="1"/>
  <c r="V208" i="1"/>
  <c r="V60" i="1"/>
  <c r="W107" i="1"/>
  <c r="X328" i="1"/>
  <c r="U135" i="1"/>
  <c r="W99" i="1"/>
  <c r="X327" i="1"/>
  <c r="R207" i="1"/>
  <c r="R135" i="1"/>
  <c r="W98" i="1"/>
  <c r="R363" i="1"/>
  <c r="U365" i="1"/>
  <c r="U291" i="1"/>
  <c r="Y152" i="1"/>
  <c r="Z279" i="1"/>
  <c r="R360" i="1"/>
  <c r="R323" i="1"/>
  <c r="R240" i="1"/>
  <c r="R204" i="1"/>
  <c r="R166" i="1"/>
  <c r="R88" i="1"/>
  <c r="S227" i="1"/>
  <c r="S184" i="1"/>
  <c r="S155" i="1"/>
  <c r="S72" i="1"/>
  <c r="S28" i="1"/>
  <c r="T359" i="1"/>
  <c r="T250" i="1"/>
  <c r="T208" i="1"/>
  <c r="T100" i="1"/>
  <c r="U362" i="1"/>
  <c r="U286" i="1"/>
  <c r="U227" i="1"/>
  <c r="U169" i="1"/>
  <c r="V325" i="1"/>
  <c r="V207" i="1"/>
  <c r="V35" i="1"/>
  <c r="W324" i="1"/>
  <c r="W168" i="1"/>
  <c r="W82" i="1"/>
  <c r="X310" i="1"/>
  <c r="X147" i="1"/>
  <c r="Y346" i="1"/>
  <c r="Y136" i="1"/>
  <c r="Z252" i="1"/>
  <c r="T207" i="1"/>
  <c r="W75" i="1"/>
  <c r="S290" i="1"/>
  <c r="S218" i="1"/>
  <c r="V99" i="1"/>
  <c r="W8" i="1"/>
  <c r="X291" i="1"/>
  <c r="X99" i="1"/>
  <c r="T242" i="1"/>
  <c r="U109" i="1"/>
  <c r="W152" i="1"/>
  <c r="X98" i="1"/>
  <c r="R8" i="1"/>
  <c r="R304" i="1"/>
  <c r="S361" i="1"/>
  <c r="S323" i="1"/>
  <c r="S287" i="1"/>
  <c r="S143" i="1"/>
  <c r="S63" i="1"/>
  <c r="T143" i="1"/>
  <c r="U264" i="1"/>
  <c r="U206" i="1"/>
  <c r="U108" i="1"/>
  <c r="V250" i="1"/>
  <c r="V170" i="1"/>
  <c r="V94" i="1"/>
  <c r="V12" i="1"/>
  <c r="W290" i="1"/>
  <c r="X243" i="1"/>
  <c r="X95" i="1"/>
  <c r="R300" i="1"/>
  <c r="R256" i="1"/>
  <c r="S360" i="1"/>
  <c r="S314" i="1"/>
  <c r="S286" i="1"/>
  <c r="S243" i="1"/>
  <c r="S136" i="1"/>
  <c r="S101" i="1"/>
  <c r="S60" i="1"/>
  <c r="S14" i="1"/>
  <c r="T239" i="1"/>
  <c r="T142" i="1"/>
  <c r="T83" i="1"/>
  <c r="T35" i="1"/>
  <c r="U154" i="1"/>
  <c r="U107" i="1"/>
  <c r="V300" i="1"/>
  <c r="V239" i="1"/>
  <c r="V157" i="1"/>
  <c r="S217" i="1"/>
  <c r="U8" i="1"/>
  <c r="R347" i="1"/>
  <c r="R188" i="1"/>
  <c r="R103" i="1"/>
  <c r="R72" i="1"/>
  <c r="S242" i="1"/>
  <c r="S208" i="1"/>
  <c r="T238" i="1"/>
  <c r="T135" i="1"/>
  <c r="U323" i="1"/>
  <c r="V238" i="1"/>
  <c r="V74" i="1"/>
  <c r="V8" i="1"/>
  <c r="W59" i="1"/>
  <c r="V357" i="1"/>
  <c r="Z357" i="1"/>
  <c r="Y357" i="1"/>
  <c r="X357" i="1"/>
  <c r="W357" i="1"/>
  <c r="T357" i="1"/>
  <c r="U357" i="1"/>
  <c r="W333" i="1"/>
  <c r="X333" i="1"/>
  <c r="Z333" i="1"/>
  <c r="V333" i="1"/>
  <c r="Y333" i="1"/>
  <c r="T333" i="1"/>
  <c r="W297" i="1"/>
  <c r="X297" i="1"/>
  <c r="Z297" i="1"/>
  <c r="Y297" i="1"/>
  <c r="V297" i="1"/>
  <c r="T297" i="1"/>
  <c r="W285" i="1"/>
  <c r="X285" i="1"/>
  <c r="Z285" i="1"/>
  <c r="V285" i="1"/>
  <c r="Y285" i="1"/>
  <c r="U285" i="1"/>
  <c r="S285" i="1"/>
  <c r="W249" i="1"/>
  <c r="Y249" i="1"/>
  <c r="T249" i="1"/>
  <c r="X249" i="1"/>
  <c r="S249" i="1"/>
  <c r="R249" i="1"/>
  <c r="Z249" i="1"/>
  <c r="V249" i="1"/>
  <c r="Z225" i="1"/>
  <c r="Y225" i="1"/>
  <c r="X225" i="1"/>
  <c r="W225" i="1"/>
  <c r="U225" i="1"/>
  <c r="V225" i="1"/>
  <c r="W201" i="1"/>
  <c r="Z201" i="1"/>
  <c r="Y201" i="1"/>
  <c r="X201" i="1"/>
  <c r="U201" i="1"/>
  <c r="T201" i="1"/>
  <c r="R201" i="1"/>
  <c r="W177" i="1"/>
  <c r="Z177" i="1"/>
  <c r="Y177" i="1"/>
  <c r="X177" i="1"/>
  <c r="T177" i="1"/>
  <c r="S177" i="1"/>
  <c r="U177" i="1"/>
  <c r="W141" i="1"/>
  <c r="Z141" i="1"/>
  <c r="Y141" i="1"/>
  <c r="X141" i="1"/>
  <c r="V141" i="1"/>
  <c r="U141" i="1"/>
  <c r="W57" i="1"/>
  <c r="U57" i="1"/>
  <c r="Z57" i="1"/>
  <c r="X57" i="1"/>
  <c r="Y57" i="1"/>
  <c r="S201" i="1"/>
  <c r="T57" i="1"/>
  <c r="X356" i="1"/>
  <c r="T356" i="1"/>
  <c r="V356" i="1"/>
  <c r="Z356" i="1"/>
  <c r="S356" i="1"/>
  <c r="Y356" i="1"/>
  <c r="X332" i="1"/>
  <c r="T332" i="1"/>
  <c r="U332" i="1"/>
  <c r="S332" i="1"/>
  <c r="V332" i="1"/>
  <c r="Z332" i="1"/>
  <c r="Y332" i="1"/>
  <c r="W332" i="1"/>
  <c r="Z308" i="1"/>
  <c r="Y308" i="1"/>
  <c r="X308" i="1"/>
  <c r="T308" i="1"/>
  <c r="S308" i="1"/>
  <c r="V308" i="1"/>
  <c r="X284" i="1"/>
  <c r="T284" i="1"/>
  <c r="Z284" i="1"/>
  <c r="V284" i="1"/>
  <c r="S284" i="1"/>
  <c r="Y284" i="1"/>
  <c r="W284" i="1"/>
  <c r="X260" i="1"/>
  <c r="T260" i="1"/>
  <c r="U260" i="1"/>
  <c r="S260" i="1"/>
  <c r="Z260" i="1"/>
  <c r="Y260" i="1"/>
  <c r="X164" i="1"/>
  <c r="Z164" i="1"/>
  <c r="Y164" i="1"/>
  <c r="T164" i="1"/>
  <c r="W164" i="1"/>
  <c r="S164" i="1"/>
  <c r="U164" i="1"/>
  <c r="V164" i="1"/>
  <c r="R164" i="1"/>
  <c r="U33" i="1"/>
  <c r="Y343" i="1"/>
  <c r="X343" i="1"/>
  <c r="T343" i="1"/>
  <c r="Z343" i="1"/>
  <c r="U343" i="1"/>
  <c r="S343" i="1"/>
  <c r="V343" i="1"/>
  <c r="W343" i="1"/>
  <c r="R343" i="1"/>
  <c r="X235" i="1"/>
  <c r="Y235" i="1"/>
  <c r="W235" i="1"/>
  <c r="T235" i="1"/>
  <c r="U235" i="1"/>
  <c r="S235" i="1"/>
  <c r="Z235" i="1"/>
  <c r="T21" i="1"/>
  <c r="U284" i="1"/>
  <c r="W45" i="1"/>
  <c r="Z45" i="1"/>
  <c r="Y45" i="1"/>
  <c r="X45" i="1"/>
  <c r="V45" i="1"/>
  <c r="T45" i="1"/>
  <c r="U45" i="1"/>
  <c r="U333" i="1"/>
  <c r="X236" i="1"/>
  <c r="W236" i="1"/>
  <c r="T236" i="1"/>
  <c r="S236" i="1"/>
  <c r="V236" i="1"/>
  <c r="R236" i="1"/>
  <c r="U236" i="1"/>
  <c r="Y236" i="1"/>
  <c r="X200" i="1"/>
  <c r="T200" i="1"/>
  <c r="S200" i="1"/>
  <c r="Z200" i="1"/>
  <c r="V200" i="1"/>
  <c r="W200" i="1"/>
  <c r="Y200" i="1"/>
  <c r="X140" i="1"/>
  <c r="T140" i="1"/>
  <c r="V140" i="1"/>
  <c r="S140" i="1"/>
  <c r="U140" i="1"/>
  <c r="Z140" i="1"/>
  <c r="X116" i="1"/>
  <c r="T116" i="1"/>
  <c r="W116" i="1"/>
  <c r="U116" i="1"/>
  <c r="S116" i="1"/>
  <c r="R116" i="1"/>
  <c r="V116" i="1"/>
  <c r="X92" i="1"/>
  <c r="W92" i="1"/>
  <c r="T92" i="1"/>
  <c r="S92" i="1"/>
  <c r="Z92" i="1"/>
  <c r="Y92" i="1"/>
  <c r="R92" i="1"/>
  <c r="V92" i="1"/>
  <c r="X80" i="1"/>
  <c r="T80" i="1"/>
  <c r="Y80" i="1"/>
  <c r="S80" i="1"/>
  <c r="Z80" i="1"/>
  <c r="R80" i="1"/>
  <c r="W80" i="1"/>
  <c r="X56" i="1"/>
  <c r="T56" i="1"/>
  <c r="Z56" i="1"/>
  <c r="S56" i="1"/>
  <c r="W56" i="1"/>
  <c r="X20" i="1"/>
  <c r="Z20" i="1"/>
  <c r="Y20" i="1"/>
  <c r="T20" i="1"/>
  <c r="S20" i="1"/>
  <c r="U20" i="1"/>
  <c r="R20" i="1"/>
  <c r="V20" i="1"/>
  <c r="W20" i="1"/>
  <c r="Y355" i="1"/>
  <c r="T355" i="1"/>
  <c r="U355" i="1"/>
  <c r="Z355" i="1"/>
  <c r="S355" i="1"/>
  <c r="R355" i="1"/>
  <c r="X355" i="1"/>
  <c r="Y331" i="1"/>
  <c r="Z331" i="1"/>
  <c r="T331" i="1"/>
  <c r="U331" i="1"/>
  <c r="X331" i="1"/>
  <c r="S331" i="1"/>
  <c r="W331" i="1"/>
  <c r="V331" i="1"/>
  <c r="Y307" i="1"/>
  <c r="T307" i="1"/>
  <c r="U307" i="1"/>
  <c r="S307" i="1"/>
  <c r="W307" i="1"/>
  <c r="X307" i="1"/>
  <c r="V307" i="1"/>
  <c r="X271" i="1"/>
  <c r="Y271" i="1"/>
  <c r="T271" i="1"/>
  <c r="Z271" i="1"/>
  <c r="U271" i="1"/>
  <c r="S271" i="1"/>
  <c r="V271" i="1"/>
  <c r="X247" i="1"/>
  <c r="Y247" i="1"/>
  <c r="Z247" i="1"/>
  <c r="T247" i="1"/>
  <c r="U247" i="1"/>
  <c r="S247" i="1"/>
  <c r="V247" i="1"/>
  <c r="W247" i="1"/>
  <c r="R247" i="1"/>
  <c r="X211" i="1"/>
  <c r="Y211" i="1"/>
  <c r="T211" i="1"/>
  <c r="U211" i="1"/>
  <c r="S211" i="1"/>
  <c r="W211" i="1"/>
  <c r="R211" i="1"/>
  <c r="X187" i="1"/>
  <c r="Y187" i="1"/>
  <c r="Z187" i="1"/>
  <c r="T187" i="1"/>
  <c r="U187" i="1"/>
  <c r="S187" i="1"/>
  <c r="W187" i="1"/>
  <c r="V187" i="1"/>
  <c r="X163" i="1"/>
  <c r="Y163" i="1"/>
  <c r="T163" i="1"/>
  <c r="U163" i="1"/>
  <c r="S163" i="1"/>
  <c r="V163" i="1"/>
  <c r="R163" i="1"/>
  <c r="X139" i="1"/>
  <c r="Y139" i="1"/>
  <c r="T139" i="1"/>
  <c r="U139" i="1"/>
  <c r="S139" i="1"/>
  <c r="W139" i="1"/>
  <c r="V139" i="1"/>
  <c r="Z139" i="1"/>
  <c r="X115" i="1"/>
  <c r="Y115" i="1"/>
  <c r="T115" i="1"/>
  <c r="U115" i="1"/>
  <c r="S115" i="1"/>
  <c r="W115" i="1"/>
  <c r="R115" i="1"/>
  <c r="Z115" i="1"/>
  <c r="X79" i="1"/>
  <c r="Y79" i="1"/>
  <c r="T79" i="1"/>
  <c r="W79" i="1"/>
  <c r="U79" i="1"/>
  <c r="Z79" i="1"/>
  <c r="S79" i="1"/>
  <c r="R79" i="1"/>
  <c r="V79" i="1"/>
  <c r="X55" i="1"/>
  <c r="Y55" i="1"/>
  <c r="T55" i="1"/>
  <c r="U55" i="1"/>
  <c r="Z55" i="1"/>
  <c r="S55" i="1"/>
  <c r="V55" i="1"/>
  <c r="R55" i="1"/>
  <c r="W55" i="1"/>
  <c r="X31" i="1"/>
  <c r="Y31" i="1"/>
  <c r="T31" i="1"/>
  <c r="U31" i="1"/>
  <c r="Z31" i="1"/>
  <c r="W31" i="1"/>
  <c r="S31" i="1"/>
  <c r="V31" i="1"/>
  <c r="X19" i="1"/>
  <c r="Y19" i="1"/>
  <c r="Z19" i="1"/>
  <c r="T19" i="1"/>
  <c r="U19" i="1"/>
  <c r="S19" i="1"/>
  <c r="V19" i="1"/>
  <c r="R225" i="1"/>
  <c r="U32" i="1"/>
  <c r="W140" i="1"/>
  <c r="Z273" i="1"/>
  <c r="Y354" i="1"/>
  <c r="Z354" i="1"/>
  <c r="U354" i="1"/>
  <c r="V354" i="1"/>
  <c r="W354" i="1"/>
  <c r="T354" i="1"/>
  <c r="R354" i="1"/>
  <c r="Y318" i="1"/>
  <c r="Z318" i="1"/>
  <c r="U318" i="1"/>
  <c r="V318" i="1"/>
  <c r="T318" i="1"/>
  <c r="W318" i="1"/>
  <c r="X318" i="1"/>
  <c r="Y258" i="1"/>
  <c r="Z258" i="1"/>
  <c r="X258" i="1"/>
  <c r="U258" i="1"/>
  <c r="V258" i="1"/>
  <c r="W258" i="1"/>
  <c r="R258" i="1"/>
  <c r="T258" i="1"/>
  <c r="Y246" i="1"/>
  <c r="Z246" i="1"/>
  <c r="X246" i="1"/>
  <c r="U246" i="1"/>
  <c r="V246" i="1"/>
  <c r="T246" i="1"/>
  <c r="S246" i="1"/>
  <c r="Y234" i="1"/>
  <c r="Z234" i="1"/>
  <c r="X234" i="1"/>
  <c r="U234" i="1"/>
  <c r="V234" i="1"/>
  <c r="T234" i="1"/>
  <c r="W234" i="1"/>
  <c r="S234" i="1"/>
  <c r="Y210" i="1"/>
  <c r="Z210" i="1"/>
  <c r="X210" i="1"/>
  <c r="U210" i="1"/>
  <c r="W210" i="1"/>
  <c r="V210" i="1"/>
  <c r="R210" i="1"/>
  <c r="T210" i="1"/>
  <c r="Y198" i="1"/>
  <c r="Z198" i="1"/>
  <c r="X198" i="1"/>
  <c r="U198" i="1"/>
  <c r="V198" i="1"/>
  <c r="W198" i="1"/>
  <c r="T198" i="1"/>
  <c r="R198" i="1"/>
  <c r="Y186" i="1"/>
  <c r="Z186" i="1"/>
  <c r="X186" i="1"/>
  <c r="U186" i="1"/>
  <c r="V186" i="1"/>
  <c r="W186" i="1"/>
  <c r="R186" i="1"/>
  <c r="Y174" i="1"/>
  <c r="Z174" i="1"/>
  <c r="X174" i="1"/>
  <c r="U174" i="1"/>
  <c r="V174" i="1"/>
  <c r="T174" i="1"/>
  <c r="W174" i="1"/>
  <c r="Y162" i="1"/>
  <c r="Z162" i="1"/>
  <c r="X162" i="1"/>
  <c r="U162" i="1"/>
  <c r="V162" i="1"/>
  <c r="S162" i="1"/>
  <c r="Y138" i="1"/>
  <c r="Z138" i="1"/>
  <c r="X138" i="1"/>
  <c r="U138" i="1"/>
  <c r="V138" i="1"/>
  <c r="W138" i="1"/>
  <c r="R138" i="1"/>
  <c r="Y126" i="1"/>
  <c r="Z126" i="1"/>
  <c r="X126" i="1"/>
  <c r="U126" i="1"/>
  <c r="V126" i="1"/>
  <c r="S126" i="1"/>
  <c r="T126" i="1"/>
  <c r="Y114" i="1"/>
  <c r="Z114" i="1"/>
  <c r="X114" i="1"/>
  <c r="U114" i="1"/>
  <c r="V114" i="1"/>
  <c r="W114" i="1"/>
  <c r="T114" i="1"/>
  <c r="Y102" i="1"/>
  <c r="Z102" i="1"/>
  <c r="X102" i="1"/>
  <c r="U102" i="1"/>
  <c r="V102" i="1"/>
  <c r="T102" i="1"/>
  <c r="W102" i="1"/>
  <c r="Y90" i="1"/>
  <c r="Z90" i="1"/>
  <c r="X90" i="1"/>
  <c r="U90" i="1"/>
  <c r="V90" i="1"/>
  <c r="W90" i="1"/>
  <c r="S90" i="1"/>
  <c r="R90" i="1"/>
  <c r="Y66" i="1"/>
  <c r="Z66" i="1"/>
  <c r="X66" i="1"/>
  <c r="U66" i="1"/>
  <c r="W66" i="1"/>
  <c r="V66" i="1"/>
  <c r="R66" i="1"/>
  <c r="T66" i="1"/>
  <c r="Y54" i="1"/>
  <c r="Z54" i="1"/>
  <c r="X54" i="1"/>
  <c r="U54" i="1"/>
  <c r="V54" i="1"/>
  <c r="R54" i="1"/>
  <c r="Y30" i="1"/>
  <c r="Z30" i="1"/>
  <c r="X30" i="1"/>
  <c r="U30" i="1"/>
  <c r="V30" i="1"/>
  <c r="T30" i="1"/>
  <c r="Y18" i="1"/>
  <c r="Z18" i="1"/>
  <c r="X18" i="1"/>
  <c r="U18" i="1"/>
  <c r="V18" i="1"/>
  <c r="W18" i="1"/>
  <c r="S18" i="1"/>
  <c r="T18" i="1"/>
  <c r="Y6" i="1"/>
  <c r="Z6" i="1"/>
  <c r="X6" i="1"/>
  <c r="U6" i="1"/>
  <c r="V6" i="1"/>
  <c r="S6" i="1"/>
  <c r="R308" i="1"/>
  <c r="R285" i="1"/>
  <c r="R140" i="1"/>
  <c r="R57" i="1"/>
  <c r="S357" i="1"/>
  <c r="S54" i="1"/>
  <c r="U356" i="1"/>
  <c r="U320" i="1"/>
  <c r="X354" i="1"/>
  <c r="Z365" i="1"/>
  <c r="Y365" i="1"/>
  <c r="V365" i="1"/>
  <c r="W365" i="1"/>
  <c r="Z353" i="1"/>
  <c r="Y353" i="1"/>
  <c r="V353" i="1"/>
  <c r="W353" i="1"/>
  <c r="U353" i="1"/>
  <c r="T353" i="1"/>
  <c r="S353" i="1"/>
  <c r="Z341" i="1"/>
  <c r="Y341" i="1"/>
  <c r="V341" i="1"/>
  <c r="W341" i="1"/>
  <c r="R341" i="1"/>
  <c r="X341" i="1"/>
  <c r="S341" i="1"/>
  <c r="Z329" i="1"/>
  <c r="Y329" i="1"/>
  <c r="X329" i="1"/>
  <c r="V329" i="1"/>
  <c r="U329" i="1"/>
  <c r="W329" i="1"/>
  <c r="R329" i="1"/>
  <c r="Z317" i="1"/>
  <c r="Y317" i="1"/>
  <c r="V317" i="1"/>
  <c r="W317" i="1"/>
  <c r="S317" i="1"/>
  <c r="Z305" i="1"/>
  <c r="Y305" i="1"/>
  <c r="V305" i="1"/>
  <c r="T305" i="1"/>
  <c r="S305" i="1"/>
  <c r="W305" i="1"/>
  <c r="R305" i="1"/>
  <c r="X305" i="1"/>
  <c r="U305" i="1"/>
  <c r="Z281" i="1"/>
  <c r="Y281" i="1"/>
  <c r="V281" i="1"/>
  <c r="W281" i="1"/>
  <c r="U281" i="1"/>
  <c r="X281" i="1"/>
  <c r="Z269" i="1"/>
  <c r="Y269" i="1"/>
  <c r="V269" i="1"/>
  <c r="X269" i="1"/>
  <c r="T269" i="1"/>
  <c r="W269" i="1"/>
  <c r="Z257" i="1"/>
  <c r="Y257" i="1"/>
  <c r="V257" i="1"/>
  <c r="U257" i="1"/>
  <c r="R257" i="1"/>
  <c r="X257" i="1"/>
  <c r="Z245" i="1"/>
  <c r="Y245" i="1"/>
  <c r="X245" i="1"/>
  <c r="V245" i="1"/>
  <c r="U245" i="1"/>
  <c r="Z233" i="1"/>
  <c r="Y233" i="1"/>
  <c r="V233" i="1"/>
  <c r="X233" i="1"/>
  <c r="T233" i="1"/>
  <c r="W233" i="1"/>
  <c r="S233" i="1"/>
  <c r="U233" i="1"/>
  <c r="Z221" i="1"/>
  <c r="Y221" i="1"/>
  <c r="V221" i="1"/>
  <c r="X221" i="1"/>
  <c r="W221" i="1"/>
  <c r="S221" i="1"/>
  <c r="Z209" i="1"/>
  <c r="Y209" i="1"/>
  <c r="W209" i="1"/>
  <c r="V209" i="1"/>
  <c r="U209" i="1"/>
  <c r="T209" i="1"/>
  <c r="R209" i="1"/>
  <c r="Z197" i="1"/>
  <c r="Y197" i="1"/>
  <c r="V197" i="1"/>
  <c r="W197" i="1"/>
  <c r="X197" i="1"/>
  <c r="R197" i="1"/>
  <c r="U197" i="1"/>
  <c r="S197" i="1"/>
  <c r="Z185" i="1"/>
  <c r="Y185" i="1"/>
  <c r="V185" i="1"/>
  <c r="U185" i="1"/>
  <c r="R185" i="1"/>
  <c r="S185" i="1"/>
  <c r="Z161" i="1"/>
  <c r="Y161" i="1"/>
  <c r="X161" i="1"/>
  <c r="V161" i="1"/>
  <c r="T161" i="1"/>
  <c r="S161" i="1"/>
  <c r="Z149" i="1"/>
  <c r="Y149" i="1"/>
  <c r="V149" i="1"/>
  <c r="W149" i="1"/>
  <c r="X149" i="1"/>
  <c r="T149" i="1"/>
  <c r="R149" i="1"/>
  <c r="U149" i="1"/>
  <c r="Z137" i="1"/>
  <c r="Y137" i="1"/>
  <c r="V137" i="1"/>
  <c r="U137" i="1"/>
  <c r="W137" i="1"/>
  <c r="Z125" i="1"/>
  <c r="Y125" i="1"/>
  <c r="V125" i="1"/>
  <c r="T125" i="1"/>
  <c r="X125" i="1"/>
  <c r="U125" i="1"/>
  <c r="W125" i="1"/>
  <c r="Z113" i="1"/>
  <c r="Y113" i="1"/>
  <c r="V113" i="1"/>
  <c r="U113" i="1"/>
  <c r="X113" i="1"/>
  <c r="T113" i="1"/>
  <c r="W113" i="1"/>
  <c r="Z101" i="1"/>
  <c r="Y101" i="1"/>
  <c r="X101" i="1"/>
  <c r="V101" i="1"/>
  <c r="W101" i="1"/>
  <c r="R101" i="1"/>
  <c r="Z89" i="1"/>
  <c r="Y89" i="1"/>
  <c r="V89" i="1"/>
  <c r="T89" i="1"/>
  <c r="S89" i="1"/>
  <c r="X89" i="1"/>
  <c r="W89" i="1"/>
  <c r="Z77" i="1"/>
  <c r="Y77" i="1"/>
  <c r="V77" i="1"/>
  <c r="U77" i="1"/>
  <c r="W77" i="1"/>
  <c r="S77" i="1"/>
  <c r="Z65" i="1"/>
  <c r="Y65" i="1"/>
  <c r="W65" i="1"/>
  <c r="V65" i="1"/>
  <c r="X65" i="1"/>
  <c r="T65" i="1"/>
  <c r="S65" i="1"/>
  <c r="Z53" i="1"/>
  <c r="Y53" i="1"/>
  <c r="V53" i="1"/>
  <c r="W53" i="1"/>
  <c r="R53" i="1"/>
  <c r="Z41" i="1"/>
  <c r="Y41" i="1"/>
  <c r="V41" i="1"/>
  <c r="U41" i="1"/>
  <c r="W41" i="1"/>
  <c r="R41" i="1"/>
  <c r="T41" i="1"/>
  <c r="S41" i="1"/>
  <c r="Z29" i="1"/>
  <c r="Y29" i="1"/>
  <c r="V29" i="1"/>
  <c r="X29" i="1"/>
  <c r="U29" i="1"/>
  <c r="S29" i="1"/>
  <c r="R29" i="1"/>
  <c r="Z17" i="1"/>
  <c r="Y17" i="1"/>
  <c r="X17" i="1"/>
  <c r="V17" i="1"/>
  <c r="T17" i="1"/>
  <c r="U17" i="1"/>
  <c r="S17" i="1"/>
  <c r="W17" i="1"/>
  <c r="Z5" i="1"/>
  <c r="Y5" i="1"/>
  <c r="V5" i="1"/>
  <c r="W5" i="1"/>
  <c r="X5" i="1"/>
  <c r="S5" i="1"/>
  <c r="U5" i="1"/>
  <c r="R307" i="1"/>
  <c r="R284" i="1"/>
  <c r="R221" i="1"/>
  <c r="R139" i="1"/>
  <c r="R56" i="1"/>
  <c r="S354" i="1"/>
  <c r="S329" i="1"/>
  <c r="S53" i="1"/>
  <c r="S30" i="1"/>
  <c r="T141" i="1"/>
  <c r="T77" i="1"/>
  <c r="U317" i="1"/>
  <c r="U133" i="1"/>
  <c r="U98" i="1"/>
  <c r="V201" i="1"/>
  <c r="V152" i="1"/>
  <c r="W185" i="1"/>
  <c r="X353" i="1"/>
  <c r="X185" i="1"/>
  <c r="X77" i="1"/>
  <c r="Y121" i="1"/>
  <c r="Z116" i="1"/>
  <c r="R365" i="1"/>
  <c r="R283" i="1"/>
  <c r="R200" i="1"/>
  <c r="R177" i="1"/>
  <c r="R137" i="1"/>
  <c r="R114" i="1"/>
  <c r="R73" i="1"/>
  <c r="S374" i="1"/>
  <c r="S281" i="1"/>
  <c r="S258" i="1"/>
  <c r="S98" i="1"/>
  <c r="S73" i="1"/>
  <c r="T317" i="1"/>
  <c r="T138" i="1"/>
  <c r="U21" i="1"/>
  <c r="V355" i="1"/>
  <c r="Y337" i="1"/>
  <c r="Y116" i="1"/>
  <c r="Z373" i="1"/>
  <c r="Z237" i="1"/>
  <c r="Z363" i="1"/>
  <c r="Y363" i="1"/>
  <c r="X363" i="1"/>
  <c r="T363" i="1"/>
  <c r="U363" i="1"/>
  <c r="S363" i="1"/>
  <c r="W363" i="1"/>
  <c r="Z351" i="1"/>
  <c r="Y351" i="1"/>
  <c r="X351" i="1"/>
  <c r="W351" i="1"/>
  <c r="V351" i="1"/>
  <c r="R351" i="1"/>
  <c r="U351" i="1"/>
  <c r="Z327" i="1"/>
  <c r="Y327" i="1"/>
  <c r="W327" i="1"/>
  <c r="V327" i="1"/>
  <c r="U327" i="1"/>
  <c r="Z315" i="1"/>
  <c r="Y315" i="1"/>
  <c r="X315" i="1"/>
  <c r="W315" i="1"/>
  <c r="U315" i="1"/>
  <c r="R315" i="1"/>
  <c r="Z291" i="1"/>
  <c r="Y291" i="1"/>
  <c r="W291" i="1"/>
  <c r="T291" i="1"/>
  <c r="S291" i="1"/>
  <c r="R291" i="1"/>
  <c r="Y279" i="1"/>
  <c r="U279" i="1"/>
  <c r="X279" i="1"/>
  <c r="V279" i="1"/>
  <c r="Z255" i="1"/>
  <c r="V255" i="1"/>
  <c r="W255" i="1"/>
  <c r="X255" i="1"/>
  <c r="U255" i="1"/>
  <c r="T255" i="1"/>
  <c r="Y255" i="1"/>
  <c r="S255" i="1"/>
  <c r="Y243" i="1"/>
  <c r="W243" i="1"/>
  <c r="U243" i="1"/>
  <c r="Z243" i="1"/>
  <c r="V243" i="1"/>
  <c r="R243" i="1"/>
  <c r="Z219" i="1"/>
  <c r="X207" i="1"/>
  <c r="U207" i="1"/>
  <c r="W207" i="1"/>
  <c r="Z183" i="1"/>
  <c r="Y183" i="1"/>
  <c r="X183" i="1"/>
  <c r="W183" i="1"/>
  <c r="V183" i="1"/>
  <c r="T183" i="1"/>
  <c r="W171" i="1"/>
  <c r="X171" i="1"/>
  <c r="U171" i="1"/>
  <c r="R171" i="1"/>
  <c r="Y171" i="1"/>
  <c r="T171" i="1"/>
  <c r="Y147" i="1"/>
  <c r="T147" i="1"/>
  <c r="S147" i="1"/>
  <c r="Z147" i="1"/>
  <c r="V147" i="1"/>
  <c r="U147" i="1"/>
  <c r="X135" i="1"/>
  <c r="W135" i="1"/>
  <c r="Y135" i="1"/>
  <c r="V135" i="1"/>
  <c r="S135" i="1"/>
  <c r="S111" i="1"/>
  <c r="U99" i="1"/>
  <c r="Z99" i="1"/>
  <c r="Y99" i="1"/>
  <c r="S99" i="1"/>
  <c r="Z87" i="1"/>
  <c r="V87" i="1"/>
  <c r="U87" i="1"/>
  <c r="W87" i="1"/>
  <c r="T87" i="1"/>
  <c r="X87" i="1"/>
  <c r="T75" i="1"/>
  <c r="Z75" i="1"/>
  <c r="S75" i="1"/>
  <c r="X75" i="1"/>
  <c r="V75" i="1"/>
  <c r="U75" i="1"/>
  <c r="R75" i="1"/>
  <c r="V63" i="1"/>
  <c r="T63" i="1"/>
  <c r="X63" i="1"/>
  <c r="Z39" i="1"/>
  <c r="Y39" i="1"/>
  <c r="X39" i="1"/>
  <c r="W39" i="1"/>
  <c r="V39" i="1"/>
  <c r="W27" i="1"/>
  <c r="U27" i="1"/>
  <c r="Z27" i="1"/>
  <c r="Y27" i="1"/>
  <c r="X27" i="1"/>
  <c r="R27" i="1"/>
  <c r="T27" i="1"/>
  <c r="R260" i="1"/>
  <c r="R113" i="1"/>
  <c r="R31" i="1"/>
  <c r="S327" i="1"/>
  <c r="S257" i="1"/>
  <c r="S210" i="1"/>
  <c r="S97" i="1"/>
  <c r="S27" i="1"/>
  <c r="T197" i="1"/>
  <c r="T137" i="1"/>
  <c r="T101" i="1"/>
  <c r="T39" i="1"/>
  <c r="U341" i="1"/>
  <c r="U309" i="1"/>
  <c r="U269" i="1"/>
  <c r="U200" i="1"/>
  <c r="U161" i="1"/>
  <c r="U92" i="1"/>
  <c r="U56" i="1"/>
  <c r="V315" i="1"/>
  <c r="V235" i="1"/>
  <c r="V190" i="1"/>
  <c r="V57" i="1"/>
  <c r="W271" i="1"/>
  <c r="W126" i="1"/>
  <c r="W19" i="1"/>
  <c r="X53" i="1"/>
  <c r="Y87" i="1"/>
  <c r="Z236" i="1"/>
  <c r="Z369" i="1"/>
  <c r="Y369" i="1"/>
  <c r="X369" i="1"/>
  <c r="V369" i="1"/>
  <c r="R369" i="1"/>
  <c r="W321" i="1"/>
  <c r="X321" i="1"/>
  <c r="Z321" i="1"/>
  <c r="T321" i="1"/>
  <c r="S321" i="1"/>
  <c r="U321" i="1"/>
  <c r="V321" i="1"/>
  <c r="R321" i="1"/>
  <c r="Y321" i="1"/>
  <c r="S225" i="1"/>
  <c r="X368" i="1"/>
  <c r="T368" i="1"/>
  <c r="W368" i="1"/>
  <c r="S368" i="1"/>
  <c r="R368" i="1"/>
  <c r="Y368" i="1"/>
  <c r="Z368" i="1"/>
  <c r="X344" i="1"/>
  <c r="T344" i="1"/>
  <c r="Y344" i="1"/>
  <c r="S344" i="1"/>
  <c r="W344" i="1"/>
  <c r="Z344" i="1"/>
  <c r="X320" i="1"/>
  <c r="T320" i="1"/>
  <c r="Z320" i="1"/>
  <c r="S320" i="1"/>
  <c r="R320" i="1"/>
  <c r="X296" i="1"/>
  <c r="T296" i="1"/>
  <c r="S296" i="1"/>
  <c r="W296" i="1"/>
  <c r="U296" i="1"/>
  <c r="V296" i="1"/>
  <c r="Z296" i="1"/>
  <c r="X272" i="1"/>
  <c r="T272" i="1"/>
  <c r="S272" i="1"/>
  <c r="W272" i="1"/>
  <c r="Y272" i="1"/>
  <c r="R272" i="1"/>
  <c r="V272" i="1"/>
  <c r="Z272" i="1"/>
  <c r="X224" i="1"/>
  <c r="T224" i="1"/>
  <c r="S224" i="1"/>
  <c r="Z224" i="1"/>
  <c r="Y224" i="1"/>
  <c r="R224" i="1"/>
  <c r="X32" i="1"/>
  <c r="T32" i="1"/>
  <c r="W32" i="1"/>
  <c r="S32" i="1"/>
  <c r="Z32" i="1"/>
  <c r="V32" i="1"/>
  <c r="R332" i="1"/>
  <c r="Y32" i="1"/>
  <c r="Y283" i="1"/>
  <c r="T283" i="1"/>
  <c r="U283" i="1"/>
  <c r="S283" i="1"/>
  <c r="W283" i="1"/>
  <c r="V283" i="1"/>
  <c r="Z283" i="1"/>
  <c r="X91" i="1"/>
  <c r="Y91" i="1"/>
  <c r="W91" i="1"/>
  <c r="T91" i="1"/>
  <c r="U91" i="1"/>
  <c r="S91" i="1"/>
  <c r="Z91" i="1"/>
  <c r="V91" i="1"/>
  <c r="R141" i="1"/>
  <c r="S333" i="1"/>
  <c r="U249" i="1"/>
  <c r="Y342" i="1"/>
  <c r="Z342" i="1"/>
  <c r="U342" i="1"/>
  <c r="V342" i="1"/>
  <c r="R342" i="1"/>
  <c r="X342" i="1"/>
  <c r="T342" i="1"/>
  <c r="Y306" i="1"/>
  <c r="Z306" i="1"/>
  <c r="U306" i="1"/>
  <c r="V306" i="1"/>
  <c r="X306" i="1"/>
  <c r="W306" i="1"/>
  <c r="S306" i="1"/>
  <c r="R306" i="1"/>
  <c r="Y270" i="1"/>
  <c r="Z270" i="1"/>
  <c r="X270" i="1"/>
  <c r="U270" i="1"/>
  <c r="V270" i="1"/>
  <c r="W270" i="1"/>
  <c r="U374" i="1"/>
  <c r="R374" i="1"/>
  <c r="Z374" i="1"/>
  <c r="Y374" i="1"/>
  <c r="X374" i="1"/>
  <c r="V374" i="1"/>
  <c r="Z350" i="1"/>
  <c r="Y350" i="1"/>
  <c r="X350" i="1"/>
  <c r="R350" i="1"/>
  <c r="V350" i="1"/>
  <c r="S350" i="1"/>
  <c r="U350" i="1"/>
  <c r="V326" i="1"/>
  <c r="R326" i="1"/>
  <c r="Z326" i="1"/>
  <c r="W326" i="1"/>
  <c r="U326" i="1"/>
  <c r="Y326" i="1"/>
  <c r="X302" i="1"/>
  <c r="W302" i="1"/>
  <c r="U302" i="1"/>
  <c r="R302" i="1"/>
  <c r="T302" i="1"/>
  <c r="Z302" i="1"/>
  <c r="V302" i="1"/>
  <c r="Y302" i="1"/>
  <c r="Y278" i="1"/>
  <c r="R278" i="1"/>
  <c r="Z278" i="1"/>
  <c r="W278" i="1"/>
  <c r="U278" i="1"/>
  <c r="S278" i="1"/>
  <c r="Z254" i="1"/>
  <c r="V254" i="1"/>
  <c r="R254" i="1"/>
  <c r="W254" i="1"/>
  <c r="X254" i="1"/>
  <c r="U254" i="1"/>
  <c r="T254" i="1"/>
  <c r="Z206" i="1"/>
  <c r="Y206" i="1"/>
  <c r="X206" i="1"/>
  <c r="R206" i="1"/>
  <c r="S206" i="1"/>
  <c r="V206" i="1"/>
  <c r="W206" i="1"/>
  <c r="V182" i="1"/>
  <c r="R182" i="1"/>
  <c r="X182" i="1"/>
  <c r="T182" i="1"/>
  <c r="Y182" i="1"/>
  <c r="Z182" i="1"/>
  <c r="V110" i="1"/>
  <c r="R110" i="1"/>
  <c r="W110" i="1"/>
  <c r="S110" i="1"/>
  <c r="R175" i="1"/>
  <c r="R30" i="1"/>
  <c r="V361" i="1"/>
  <c r="Y361" i="1"/>
  <c r="W361" i="1"/>
  <c r="Z361" i="1"/>
  <c r="W337" i="1"/>
  <c r="U337" i="1"/>
  <c r="Z337" i="1"/>
  <c r="S337" i="1"/>
  <c r="Y313" i="1"/>
  <c r="X313" i="1"/>
  <c r="V313" i="1"/>
  <c r="T313" i="1"/>
  <c r="W313" i="1"/>
  <c r="U313" i="1"/>
  <c r="Z289" i="1"/>
  <c r="Y289" i="1"/>
  <c r="W289" i="1"/>
  <c r="V289" i="1"/>
  <c r="X289" i="1"/>
  <c r="R289" i="1"/>
  <c r="U289" i="1"/>
  <c r="S289" i="1"/>
  <c r="X265" i="1"/>
  <c r="Z265" i="1"/>
  <c r="X241" i="1"/>
  <c r="Z241" i="1"/>
  <c r="Y241" i="1"/>
  <c r="V241" i="1"/>
  <c r="U241" i="1"/>
  <c r="W241" i="1"/>
  <c r="R241" i="1"/>
  <c r="X217" i="1"/>
  <c r="Z217" i="1"/>
  <c r="Y217" i="1"/>
  <c r="V217" i="1"/>
  <c r="T217" i="1"/>
  <c r="U217" i="1"/>
  <c r="W217" i="1"/>
  <c r="X181" i="1"/>
  <c r="Y181" i="1"/>
  <c r="W181" i="1"/>
  <c r="U181" i="1"/>
  <c r="Z181" i="1"/>
  <c r="S181" i="1"/>
  <c r="X73" i="1"/>
  <c r="V73" i="1"/>
  <c r="W73" i="1"/>
  <c r="U73" i="1"/>
  <c r="Z73" i="1"/>
  <c r="Z211" i="1"/>
  <c r="T186" i="1"/>
  <c r="T5" i="1"/>
  <c r="U224" i="1"/>
  <c r="V224" i="1"/>
  <c r="W369" i="1"/>
  <c r="W162" i="1"/>
  <c r="W6" i="1"/>
  <c r="Y296" i="1"/>
  <c r="Y74" i="1"/>
  <c r="Z313" i="1"/>
  <c r="R337" i="1"/>
  <c r="R317" i="1"/>
  <c r="R296" i="1"/>
  <c r="R274" i="1"/>
  <c r="R233" i="1"/>
  <c r="R87" i="1"/>
  <c r="R45" i="1"/>
  <c r="S365" i="1"/>
  <c r="S342" i="1"/>
  <c r="S318" i="1"/>
  <c r="S297" i="1"/>
  <c r="S182" i="1"/>
  <c r="S157" i="1"/>
  <c r="S87" i="1"/>
  <c r="S66" i="1"/>
  <c r="T365" i="1"/>
  <c r="T337" i="1"/>
  <c r="T310" i="1"/>
  <c r="T279" i="1"/>
  <c r="T245" i="1"/>
  <c r="T221" i="1"/>
  <c r="T185" i="1"/>
  <c r="U369" i="1"/>
  <c r="U297" i="1"/>
  <c r="U221" i="1"/>
  <c r="U183" i="1"/>
  <c r="U80" i="1"/>
  <c r="V337" i="1"/>
  <c r="V177" i="1"/>
  <c r="W356" i="1"/>
  <c r="W161" i="1"/>
  <c r="W54" i="1"/>
  <c r="X326" i="1"/>
  <c r="X137" i="1"/>
  <c r="Y73" i="1"/>
  <c r="X345" i="1"/>
  <c r="U345" i="1"/>
  <c r="Y345" i="1"/>
  <c r="Z345" i="1"/>
  <c r="W345" i="1"/>
  <c r="W309" i="1"/>
  <c r="Z309" i="1"/>
  <c r="Y309" i="1"/>
  <c r="X309" i="1"/>
  <c r="S309" i="1"/>
  <c r="W273" i="1"/>
  <c r="U273" i="1"/>
  <c r="X273" i="1"/>
  <c r="T273" i="1"/>
  <c r="R273" i="1"/>
  <c r="V273" i="1"/>
  <c r="S273" i="1"/>
  <c r="W237" i="1"/>
  <c r="X237" i="1"/>
  <c r="V237" i="1"/>
  <c r="T237" i="1"/>
  <c r="R237" i="1"/>
  <c r="Y237" i="1"/>
  <c r="U237" i="1"/>
  <c r="W165" i="1"/>
  <c r="Z165" i="1"/>
  <c r="Y165" i="1"/>
  <c r="X165" i="1"/>
  <c r="U165" i="1"/>
  <c r="S165" i="1"/>
  <c r="V165" i="1"/>
  <c r="W129" i="1"/>
  <c r="Z129" i="1"/>
  <c r="Y129" i="1"/>
  <c r="X129" i="1"/>
  <c r="U129" i="1"/>
  <c r="V129" i="1"/>
  <c r="S129" i="1"/>
  <c r="T129" i="1"/>
  <c r="W105" i="1"/>
  <c r="Z105" i="1"/>
  <c r="Y105" i="1"/>
  <c r="X105" i="1"/>
  <c r="T105" i="1"/>
  <c r="U105" i="1"/>
  <c r="S105" i="1"/>
  <c r="R105" i="1"/>
  <c r="V105" i="1"/>
  <c r="W93" i="1"/>
  <c r="Z93" i="1"/>
  <c r="Y93" i="1"/>
  <c r="X93" i="1"/>
  <c r="R93" i="1"/>
  <c r="W69" i="1"/>
  <c r="Z69" i="1"/>
  <c r="Y69" i="1"/>
  <c r="X69" i="1"/>
  <c r="V69" i="1"/>
  <c r="U69" i="1"/>
  <c r="R69" i="1"/>
  <c r="T69" i="1"/>
  <c r="W21" i="1"/>
  <c r="Z21" i="1"/>
  <c r="Y21" i="1"/>
  <c r="X21" i="1"/>
  <c r="R21" i="1"/>
  <c r="V21" i="1"/>
  <c r="R333" i="1"/>
  <c r="X248" i="1"/>
  <c r="Z248" i="1"/>
  <c r="Y248" i="1"/>
  <c r="W248" i="1"/>
  <c r="T248" i="1"/>
  <c r="S248" i="1"/>
  <c r="V248" i="1"/>
  <c r="X212" i="1"/>
  <c r="T212" i="1"/>
  <c r="Y212" i="1"/>
  <c r="W212" i="1"/>
  <c r="V212" i="1"/>
  <c r="S212" i="1"/>
  <c r="U212" i="1"/>
  <c r="R212" i="1"/>
  <c r="Z212" i="1"/>
  <c r="X188" i="1"/>
  <c r="T188" i="1"/>
  <c r="Z188" i="1"/>
  <c r="U188" i="1"/>
  <c r="S188" i="1"/>
  <c r="V188" i="1"/>
  <c r="W188" i="1"/>
  <c r="X152" i="1"/>
  <c r="T152" i="1"/>
  <c r="S152" i="1"/>
  <c r="U152" i="1"/>
  <c r="X128" i="1"/>
  <c r="T128" i="1"/>
  <c r="S128" i="1"/>
  <c r="Z128" i="1"/>
  <c r="Y128" i="1"/>
  <c r="W128" i="1"/>
  <c r="U128" i="1"/>
  <c r="X104" i="1"/>
  <c r="Z104" i="1"/>
  <c r="Y104" i="1"/>
  <c r="W104" i="1"/>
  <c r="T104" i="1"/>
  <c r="S104" i="1"/>
  <c r="V104" i="1"/>
  <c r="U104" i="1"/>
  <c r="X68" i="1"/>
  <c r="T68" i="1"/>
  <c r="V68" i="1"/>
  <c r="W68" i="1"/>
  <c r="S68" i="1"/>
  <c r="Z68" i="1"/>
  <c r="Y68" i="1"/>
  <c r="X44" i="1"/>
  <c r="T44" i="1"/>
  <c r="W44" i="1"/>
  <c r="U44" i="1"/>
  <c r="S44" i="1"/>
  <c r="Y44" i="1"/>
  <c r="V44" i="1"/>
  <c r="Z44" i="1"/>
  <c r="R44" i="1"/>
  <c r="R248" i="1"/>
  <c r="R165" i="1"/>
  <c r="Y367" i="1"/>
  <c r="T367" i="1"/>
  <c r="Z367" i="1"/>
  <c r="U367" i="1"/>
  <c r="X367" i="1"/>
  <c r="W367" i="1"/>
  <c r="S367" i="1"/>
  <c r="R367" i="1"/>
  <c r="Y319" i="1"/>
  <c r="T319" i="1"/>
  <c r="Z319" i="1"/>
  <c r="U319" i="1"/>
  <c r="S319" i="1"/>
  <c r="X319" i="1"/>
  <c r="V319" i="1"/>
  <c r="Y295" i="1"/>
  <c r="T295" i="1"/>
  <c r="Z295" i="1"/>
  <c r="U295" i="1"/>
  <c r="S295" i="1"/>
  <c r="W295" i="1"/>
  <c r="V295" i="1"/>
  <c r="R295" i="1"/>
  <c r="X259" i="1"/>
  <c r="Y259" i="1"/>
  <c r="T259" i="1"/>
  <c r="U259" i="1"/>
  <c r="S259" i="1"/>
  <c r="W259" i="1"/>
  <c r="Z259" i="1"/>
  <c r="V259" i="1"/>
  <c r="X223" i="1"/>
  <c r="Y223" i="1"/>
  <c r="T223" i="1"/>
  <c r="W223" i="1"/>
  <c r="U223" i="1"/>
  <c r="S223" i="1"/>
  <c r="Z223" i="1"/>
  <c r="R223" i="1"/>
  <c r="V223" i="1"/>
  <c r="X199" i="1"/>
  <c r="Y199" i="1"/>
  <c r="T199" i="1"/>
  <c r="U199" i="1"/>
  <c r="S199" i="1"/>
  <c r="V199" i="1"/>
  <c r="Z199" i="1"/>
  <c r="X175" i="1"/>
  <c r="Y175" i="1"/>
  <c r="T175" i="1"/>
  <c r="U175" i="1"/>
  <c r="S175" i="1"/>
  <c r="V175" i="1"/>
  <c r="W175" i="1"/>
  <c r="X151" i="1"/>
  <c r="Y151" i="1"/>
  <c r="T151" i="1"/>
  <c r="U151" i="1"/>
  <c r="S151" i="1"/>
  <c r="W151" i="1"/>
  <c r="Z151" i="1"/>
  <c r="X127" i="1"/>
  <c r="Y127" i="1"/>
  <c r="T127" i="1"/>
  <c r="U127" i="1"/>
  <c r="S127" i="1"/>
  <c r="Z127" i="1"/>
  <c r="V127" i="1"/>
  <c r="W127" i="1"/>
  <c r="X103" i="1"/>
  <c r="Y103" i="1"/>
  <c r="Z103" i="1"/>
  <c r="T103" i="1"/>
  <c r="U103" i="1"/>
  <c r="S103" i="1"/>
  <c r="V103" i="1"/>
  <c r="X67" i="1"/>
  <c r="Y67" i="1"/>
  <c r="T67" i="1"/>
  <c r="U67" i="1"/>
  <c r="W67" i="1"/>
  <c r="S67" i="1"/>
  <c r="R67" i="1"/>
  <c r="Z67" i="1"/>
  <c r="X43" i="1"/>
  <c r="Y43" i="1"/>
  <c r="Z43" i="1"/>
  <c r="T43" i="1"/>
  <c r="U43" i="1"/>
  <c r="S43" i="1"/>
  <c r="W43" i="1"/>
  <c r="X7" i="1"/>
  <c r="Y7" i="1"/>
  <c r="Z7" i="1"/>
  <c r="T7" i="1"/>
  <c r="U7" i="1"/>
  <c r="V7" i="1"/>
  <c r="W7" i="1"/>
  <c r="S7" i="1"/>
  <c r="R331" i="1"/>
  <c r="S57" i="1"/>
  <c r="Y282" i="1"/>
  <c r="Z282" i="1"/>
  <c r="X282" i="1"/>
  <c r="U282" i="1"/>
  <c r="V282" i="1"/>
  <c r="S282" i="1"/>
  <c r="W282" i="1"/>
  <c r="T362" i="1"/>
  <c r="R362" i="1"/>
  <c r="Z362" i="1"/>
  <c r="X362" i="1"/>
  <c r="Y362" i="1"/>
  <c r="W362" i="1"/>
  <c r="W338" i="1"/>
  <c r="R338" i="1"/>
  <c r="X338" i="1"/>
  <c r="T338" i="1"/>
  <c r="Z338" i="1"/>
  <c r="W314" i="1"/>
  <c r="R314" i="1"/>
  <c r="Y314" i="1"/>
  <c r="X314" i="1"/>
  <c r="V314" i="1"/>
  <c r="T314" i="1"/>
  <c r="T290" i="1"/>
  <c r="R290" i="1"/>
  <c r="Z290" i="1"/>
  <c r="Y290" i="1"/>
  <c r="U290" i="1"/>
  <c r="Z266" i="1"/>
  <c r="Y266" i="1"/>
  <c r="X266" i="1"/>
  <c r="R266" i="1"/>
  <c r="W266" i="1"/>
  <c r="S266" i="1"/>
  <c r="U266" i="1"/>
  <c r="Z242" i="1"/>
  <c r="Y242" i="1"/>
  <c r="X242" i="1"/>
  <c r="R242" i="1"/>
  <c r="U242" i="1"/>
  <c r="W242" i="1"/>
  <c r="Z218" i="1"/>
  <c r="Y218" i="1"/>
  <c r="X218" i="1"/>
  <c r="T218" i="1"/>
  <c r="R218" i="1"/>
  <c r="W218" i="1"/>
  <c r="V218" i="1"/>
  <c r="W170" i="1"/>
  <c r="Z170" i="1"/>
  <c r="Y170" i="1"/>
  <c r="X170" i="1"/>
  <c r="R170" i="1"/>
  <c r="T170" i="1"/>
  <c r="U170" i="1"/>
  <c r="W158" i="1"/>
  <c r="U158" i="1"/>
  <c r="R158" i="1"/>
  <c r="Z158" i="1"/>
  <c r="Y158" i="1"/>
  <c r="X158" i="1"/>
  <c r="V158" i="1"/>
  <c r="Z146" i="1"/>
  <c r="Y146" i="1"/>
  <c r="X146" i="1"/>
  <c r="T146" i="1"/>
  <c r="R146" i="1"/>
  <c r="W146" i="1"/>
  <c r="V146" i="1"/>
  <c r="W134" i="1"/>
  <c r="R134" i="1"/>
  <c r="Z134" i="1"/>
  <c r="Y134" i="1"/>
  <c r="S134" i="1"/>
  <c r="X134" i="1"/>
  <c r="V134" i="1"/>
  <c r="Z122" i="1"/>
  <c r="Y122" i="1"/>
  <c r="X122" i="1"/>
  <c r="R122" i="1"/>
  <c r="U122" i="1"/>
  <c r="R98" i="1"/>
  <c r="Z98" i="1"/>
  <c r="Y98" i="1"/>
  <c r="T74" i="1"/>
  <c r="X74" i="1"/>
  <c r="R74" i="1"/>
  <c r="W74" i="1"/>
  <c r="S74" i="1"/>
  <c r="U74" i="1"/>
  <c r="Z62" i="1"/>
  <c r="Y62" i="1"/>
  <c r="X62" i="1"/>
  <c r="R62" i="1"/>
  <c r="V62" i="1"/>
  <c r="T62" i="1"/>
  <c r="W62" i="1"/>
  <c r="S62" i="1"/>
  <c r="Y50" i="1"/>
  <c r="W50" i="1"/>
  <c r="R50" i="1"/>
  <c r="V50" i="1"/>
  <c r="Z50" i="1"/>
  <c r="X50" i="1"/>
  <c r="U50" i="1"/>
  <c r="V38" i="1"/>
  <c r="X38" i="1"/>
  <c r="R38" i="1"/>
  <c r="W38" i="1"/>
  <c r="Z38" i="1"/>
  <c r="W26" i="1"/>
  <c r="Z26" i="1"/>
  <c r="R26" i="1"/>
  <c r="T26" i="1"/>
  <c r="V26" i="1"/>
  <c r="Y26" i="1"/>
  <c r="U26" i="1"/>
  <c r="Z14" i="1"/>
  <c r="W14" i="1"/>
  <c r="Y14" i="1"/>
  <c r="U14" i="1"/>
  <c r="R14" i="1"/>
  <c r="V14" i="1"/>
  <c r="X14" i="1"/>
  <c r="R344" i="1"/>
  <c r="R259" i="1"/>
  <c r="R91" i="1"/>
  <c r="S326" i="1"/>
  <c r="S302" i="1"/>
  <c r="S186" i="1"/>
  <c r="S141" i="1"/>
  <c r="S50" i="1"/>
  <c r="S26" i="1"/>
  <c r="T345" i="1"/>
  <c r="T285" i="1"/>
  <c r="T162" i="1"/>
  <c r="T38" i="1"/>
  <c r="U308" i="1"/>
  <c r="V345" i="1"/>
  <c r="V56" i="1"/>
  <c r="W374" i="1"/>
  <c r="W320" i="1"/>
  <c r="W122" i="1"/>
  <c r="X278" i="1"/>
  <c r="Y320" i="1"/>
  <c r="U373" i="1"/>
  <c r="T373" i="1"/>
  <c r="Y373" i="1"/>
  <c r="X373" i="1"/>
  <c r="V373" i="1"/>
  <c r="R373" i="1"/>
  <c r="W373" i="1"/>
  <c r="Z349" i="1"/>
  <c r="Y349" i="1"/>
  <c r="T349" i="1"/>
  <c r="S349" i="1"/>
  <c r="X349" i="1"/>
  <c r="U349" i="1"/>
  <c r="V349" i="1"/>
  <c r="Z325" i="1"/>
  <c r="Y325" i="1"/>
  <c r="W325" i="1"/>
  <c r="X325" i="1"/>
  <c r="U325" i="1"/>
  <c r="S325" i="1"/>
  <c r="R325" i="1"/>
  <c r="X301" i="1"/>
  <c r="W301" i="1"/>
  <c r="Z301" i="1"/>
  <c r="Y301" i="1"/>
  <c r="U301" i="1"/>
  <c r="R301" i="1"/>
  <c r="S301" i="1"/>
  <c r="X277" i="1"/>
  <c r="Z277" i="1"/>
  <c r="Y277" i="1"/>
  <c r="W277" i="1"/>
  <c r="T277" i="1"/>
  <c r="U277" i="1"/>
  <c r="S277" i="1"/>
  <c r="X253" i="1"/>
  <c r="Z253" i="1"/>
  <c r="Y253" i="1"/>
  <c r="V253" i="1"/>
  <c r="T253" i="1"/>
  <c r="X229" i="1"/>
  <c r="Z229" i="1"/>
  <c r="Y229" i="1"/>
  <c r="U229" i="1"/>
  <c r="W229" i="1"/>
  <c r="T229" i="1"/>
  <c r="V229" i="1"/>
  <c r="Z205" i="1"/>
  <c r="Y205" i="1"/>
  <c r="T205" i="1"/>
  <c r="S205" i="1"/>
  <c r="V205" i="1"/>
  <c r="X193" i="1"/>
  <c r="Z193" i="1"/>
  <c r="Y193" i="1"/>
  <c r="R193" i="1"/>
  <c r="V193" i="1"/>
  <c r="T193" i="1"/>
  <c r="X169" i="1"/>
  <c r="Z169" i="1"/>
  <c r="Y169" i="1"/>
  <c r="V169" i="1"/>
  <c r="W169" i="1"/>
  <c r="T169" i="1"/>
  <c r="S169" i="1"/>
  <c r="X157" i="1"/>
  <c r="W157" i="1"/>
  <c r="U157" i="1"/>
  <c r="Z157" i="1"/>
  <c r="R157" i="1"/>
  <c r="Y157" i="1"/>
  <c r="X145" i="1"/>
  <c r="Z145" i="1"/>
  <c r="Y145" i="1"/>
  <c r="W145" i="1"/>
  <c r="V145" i="1"/>
  <c r="R145" i="1"/>
  <c r="T145" i="1"/>
  <c r="S145" i="1"/>
  <c r="U145" i="1"/>
  <c r="X133" i="1"/>
  <c r="T133" i="1"/>
  <c r="S133" i="1"/>
  <c r="Z133" i="1"/>
  <c r="V133" i="1"/>
  <c r="R133" i="1"/>
  <c r="X121" i="1"/>
  <c r="Z121" i="1"/>
  <c r="U121" i="1"/>
  <c r="V121" i="1"/>
  <c r="X109" i="1"/>
  <c r="W109" i="1"/>
  <c r="Y109" i="1"/>
  <c r="V109" i="1"/>
  <c r="T109" i="1"/>
  <c r="X97" i="1"/>
  <c r="W97" i="1"/>
  <c r="V97" i="1"/>
  <c r="Y97" i="1"/>
  <c r="T97" i="1"/>
  <c r="U97" i="1"/>
  <c r="X85" i="1"/>
  <c r="W85" i="1"/>
  <c r="U85" i="1"/>
  <c r="Y85" i="1"/>
  <c r="T85" i="1"/>
  <c r="R85" i="1"/>
  <c r="X61" i="1"/>
  <c r="Z61" i="1"/>
  <c r="Y61" i="1"/>
  <c r="T61" i="1"/>
  <c r="W61" i="1"/>
  <c r="S61" i="1"/>
  <c r="U61" i="1"/>
  <c r="X49" i="1"/>
  <c r="Y49" i="1"/>
  <c r="W49" i="1"/>
  <c r="Z49" i="1"/>
  <c r="U49" i="1"/>
  <c r="V49" i="1"/>
  <c r="T49" i="1"/>
  <c r="S49" i="1"/>
  <c r="X37" i="1"/>
  <c r="W37" i="1"/>
  <c r="Z37" i="1"/>
  <c r="R37" i="1"/>
  <c r="Y37" i="1"/>
  <c r="U37" i="1"/>
  <c r="X25" i="1"/>
  <c r="Z25" i="1"/>
  <c r="R25" i="1"/>
  <c r="V25" i="1"/>
  <c r="Y25" i="1"/>
  <c r="W25" i="1"/>
  <c r="U25" i="1"/>
  <c r="S25" i="1"/>
  <c r="T25" i="1"/>
  <c r="X13" i="1"/>
  <c r="Z13" i="1"/>
  <c r="W13" i="1"/>
  <c r="Y13" i="1"/>
  <c r="U13" i="1"/>
  <c r="R13" i="1"/>
  <c r="V13" i="1"/>
  <c r="S13" i="1"/>
  <c r="R361" i="1"/>
  <c r="R319" i="1"/>
  <c r="R235" i="1"/>
  <c r="R174" i="1"/>
  <c r="R152" i="1"/>
  <c r="R89" i="1"/>
  <c r="R68" i="1"/>
  <c r="S369" i="1"/>
  <c r="S254" i="1"/>
  <c r="S229" i="1"/>
  <c r="S138" i="1"/>
  <c r="S114" i="1"/>
  <c r="S93" i="1"/>
  <c r="T369" i="1"/>
  <c r="T341" i="1"/>
  <c r="T282" i="1"/>
  <c r="T225" i="1"/>
  <c r="T134" i="1"/>
  <c r="T37" i="1"/>
  <c r="T6" i="1"/>
  <c r="V344" i="1"/>
  <c r="V309" i="1"/>
  <c r="V266" i="1"/>
  <c r="V181" i="1"/>
  <c r="V93" i="1"/>
  <c r="V43" i="1"/>
  <c r="W319" i="1"/>
  <c r="W260" i="1"/>
  <c r="W224" i="1"/>
  <c r="W163" i="1"/>
  <c r="W121" i="1"/>
  <c r="Z314" i="1"/>
  <c r="Z85" i="1"/>
  <c r="R318" i="1"/>
  <c r="R297" i="1"/>
  <c r="R277" i="1"/>
  <c r="R234" i="1"/>
  <c r="R151" i="1"/>
  <c r="R128" i="1"/>
  <c r="R109" i="1"/>
  <c r="R65" i="1"/>
  <c r="S345" i="1"/>
  <c r="S253" i="1"/>
  <c r="S158" i="1"/>
  <c r="S137" i="1"/>
  <c r="S113" i="1"/>
  <c r="S69" i="1"/>
  <c r="S45" i="1"/>
  <c r="T281" i="1"/>
  <c r="T158" i="1"/>
  <c r="T98" i="1"/>
  <c r="U338" i="1"/>
  <c r="U193" i="1"/>
  <c r="V338" i="1"/>
  <c r="W257" i="1"/>
  <c r="Z358" i="1"/>
  <c r="X358" i="1"/>
  <c r="W358" i="1"/>
  <c r="Y358" i="1"/>
  <c r="T358" i="1"/>
  <c r="V358" i="1"/>
  <c r="R358" i="1"/>
  <c r="U358" i="1"/>
  <c r="Z346" i="1"/>
  <c r="X346" i="1"/>
  <c r="U346" i="1"/>
  <c r="W346" i="1"/>
  <c r="V346" i="1"/>
  <c r="Z334" i="1"/>
  <c r="T334" i="1"/>
  <c r="X334" i="1"/>
  <c r="V334" i="1"/>
  <c r="S334" i="1"/>
  <c r="W334" i="1"/>
  <c r="Z322" i="1"/>
  <c r="X322" i="1"/>
  <c r="W322" i="1"/>
  <c r="Y322" i="1"/>
  <c r="T322" i="1"/>
  <c r="S322" i="1"/>
  <c r="V322" i="1"/>
  <c r="Z310" i="1"/>
  <c r="Y310" i="1"/>
  <c r="U310" i="1"/>
  <c r="R310" i="1"/>
  <c r="Z298" i="1"/>
  <c r="V298" i="1"/>
  <c r="W298" i="1"/>
  <c r="X298" i="1"/>
  <c r="Y298" i="1"/>
  <c r="Z286" i="1"/>
  <c r="Y286" i="1"/>
  <c r="X286" i="1"/>
  <c r="T286" i="1"/>
  <c r="Z274" i="1"/>
  <c r="W274" i="1"/>
  <c r="U274" i="1"/>
  <c r="V274" i="1"/>
  <c r="T274" i="1"/>
  <c r="Z262" i="1"/>
  <c r="W262" i="1"/>
  <c r="T262" i="1"/>
  <c r="Y262" i="1"/>
  <c r="R262" i="1"/>
  <c r="U262" i="1"/>
  <c r="X262" i="1"/>
  <c r="Z250" i="1"/>
  <c r="W250" i="1"/>
  <c r="X250" i="1"/>
  <c r="S250" i="1"/>
  <c r="R250" i="1"/>
  <c r="Z238" i="1"/>
  <c r="Y238" i="1"/>
  <c r="W238" i="1"/>
  <c r="Z214" i="1"/>
  <c r="W214" i="1"/>
  <c r="X214" i="1"/>
  <c r="S214" i="1"/>
  <c r="Z202" i="1"/>
  <c r="X202" i="1"/>
  <c r="U202" i="1"/>
  <c r="W202" i="1"/>
  <c r="V202" i="1"/>
  <c r="Z190" i="1"/>
  <c r="T190" i="1"/>
  <c r="Y190" i="1"/>
  <c r="X190" i="1"/>
  <c r="U190" i="1"/>
  <c r="Z178" i="1"/>
  <c r="Y178" i="1"/>
  <c r="V178" i="1"/>
  <c r="S178" i="1"/>
  <c r="X178" i="1"/>
  <c r="W178" i="1"/>
  <c r="R178" i="1"/>
  <c r="T178" i="1"/>
  <c r="Z166" i="1"/>
  <c r="W166" i="1"/>
  <c r="T166" i="1"/>
  <c r="V166" i="1"/>
  <c r="Y166" i="1"/>
  <c r="U166" i="1"/>
  <c r="Z154" i="1"/>
  <c r="V154" i="1"/>
  <c r="Y154" i="1"/>
  <c r="W154" i="1"/>
  <c r="X154" i="1"/>
  <c r="Z142" i="1"/>
  <c r="Y142" i="1"/>
  <c r="X142" i="1"/>
  <c r="V142" i="1"/>
  <c r="W142" i="1"/>
  <c r="U142" i="1"/>
  <c r="Z130" i="1"/>
  <c r="U130" i="1"/>
  <c r="T130" i="1"/>
  <c r="V130" i="1"/>
  <c r="R130" i="1"/>
  <c r="X130" i="1"/>
  <c r="Y130" i="1"/>
  <c r="Z118" i="1"/>
  <c r="W118" i="1"/>
  <c r="Y118" i="1"/>
  <c r="X118" i="1"/>
  <c r="T118" i="1"/>
  <c r="R118" i="1"/>
  <c r="U118" i="1"/>
  <c r="V118" i="1"/>
  <c r="Z106" i="1"/>
  <c r="W106" i="1"/>
  <c r="X106" i="1"/>
  <c r="U106" i="1"/>
  <c r="S106" i="1"/>
  <c r="R106" i="1"/>
  <c r="V106" i="1"/>
  <c r="Y106" i="1"/>
  <c r="Z94" i="1"/>
  <c r="Y94" i="1"/>
  <c r="X94" i="1"/>
  <c r="U94" i="1"/>
  <c r="S94" i="1"/>
  <c r="T94" i="1"/>
  <c r="W94" i="1"/>
  <c r="Z82" i="1"/>
  <c r="Y82" i="1"/>
  <c r="X82" i="1"/>
  <c r="V82" i="1"/>
  <c r="U82" i="1"/>
  <c r="Z70" i="1"/>
  <c r="Y70" i="1"/>
  <c r="X70" i="1"/>
  <c r="U70" i="1"/>
  <c r="R70" i="1"/>
  <c r="Z58" i="1"/>
  <c r="W58" i="1"/>
  <c r="U58" i="1"/>
  <c r="Y58" i="1"/>
  <c r="S58" i="1"/>
  <c r="X58" i="1"/>
  <c r="V58" i="1"/>
  <c r="Z46" i="1"/>
  <c r="Y46" i="1"/>
  <c r="X46" i="1"/>
  <c r="T46" i="1"/>
  <c r="V46" i="1"/>
  <c r="W46" i="1"/>
  <c r="Z34" i="1"/>
  <c r="W34" i="1"/>
  <c r="S34" i="1"/>
  <c r="V34" i="1"/>
  <c r="Y34" i="1"/>
  <c r="U34" i="1"/>
  <c r="T34" i="1"/>
  <c r="Z22" i="1"/>
  <c r="Y22" i="1"/>
  <c r="X22" i="1"/>
  <c r="W22" i="1"/>
  <c r="R6" i="1"/>
  <c r="R357" i="1"/>
  <c r="R334" i="1"/>
  <c r="R313" i="1"/>
  <c r="R271" i="1"/>
  <c r="R147" i="1"/>
  <c r="R126" i="1"/>
  <c r="R104" i="1"/>
  <c r="R63" i="1"/>
  <c r="R43" i="1"/>
  <c r="R19" i="1"/>
  <c r="S362" i="1"/>
  <c r="S315" i="1"/>
  <c r="S270" i="1"/>
  <c r="S245" i="1"/>
  <c r="S202" i="1"/>
  <c r="S109" i="1"/>
  <c r="S39" i="1"/>
  <c r="T361" i="1"/>
  <c r="T309" i="1"/>
  <c r="T278" i="1"/>
  <c r="T122" i="1"/>
  <c r="T93" i="1"/>
  <c r="T58" i="1"/>
  <c r="T29" i="1"/>
  <c r="U368" i="1"/>
  <c r="U334" i="1"/>
  <c r="U253" i="1"/>
  <c r="U182" i="1"/>
  <c r="U110" i="1"/>
  <c r="U39" i="1"/>
  <c r="V368" i="1"/>
  <c r="V262" i="1"/>
  <c r="V214" i="1"/>
  <c r="V171" i="1"/>
  <c r="V122" i="1"/>
  <c r="V80" i="1"/>
  <c r="W355" i="1"/>
  <c r="W308" i="1"/>
  <c r="W253" i="1"/>
  <c r="Y274" i="1"/>
  <c r="Y56" i="1"/>
  <c r="Z307" i="1"/>
  <c r="Z171" i="1"/>
  <c r="U4" i="1"/>
  <c r="Z4" i="1"/>
  <c r="Z364" i="1"/>
  <c r="W364" i="1"/>
  <c r="Y364" i="1"/>
  <c r="X364" i="1"/>
  <c r="U364" i="1"/>
  <c r="S364" i="1"/>
  <c r="Z352" i="1"/>
  <c r="W352" i="1"/>
  <c r="X352" i="1"/>
  <c r="Z340" i="1"/>
  <c r="W340" i="1"/>
  <c r="Y340" i="1"/>
  <c r="V340" i="1"/>
  <c r="X340" i="1"/>
  <c r="Z328" i="1"/>
  <c r="Y328" i="1"/>
  <c r="W328" i="1"/>
  <c r="R328" i="1"/>
  <c r="U328" i="1"/>
  <c r="Z316" i="1"/>
  <c r="Y316" i="1"/>
  <c r="X316" i="1"/>
  <c r="U316" i="1"/>
  <c r="R316" i="1"/>
  <c r="Z304" i="1"/>
  <c r="T304" i="1"/>
  <c r="Y304" i="1"/>
  <c r="W304" i="1"/>
  <c r="Z292" i="1"/>
  <c r="Y292" i="1"/>
  <c r="X292" i="1"/>
  <c r="W292" i="1"/>
  <c r="V292" i="1"/>
  <c r="S292" i="1"/>
  <c r="Z280" i="1"/>
  <c r="X280" i="1"/>
  <c r="Z268" i="1"/>
  <c r="Y268" i="1"/>
  <c r="X268" i="1"/>
  <c r="V268" i="1"/>
  <c r="T268" i="1"/>
  <c r="Z256" i="1"/>
  <c r="Y256" i="1"/>
  <c r="V256" i="1"/>
  <c r="Z244" i="1"/>
  <c r="Y244" i="1"/>
  <c r="X244" i="1"/>
  <c r="W244" i="1"/>
  <c r="U244" i="1"/>
  <c r="V244" i="1"/>
  <c r="Z232" i="1"/>
  <c r="T232" i="1"/>
  <c r="W232" i="1"/>
  <c r="Z220" i="1"/>
  <c r="Y220" i="1"/>
  <c r="S220" i="1"/>
  <c r="X220" i="1"/>
  <c r="W220" i="1"/>
  <c r="Z208" i="1"/>
  <c r="X208" i="1"/>
  <c r="U208" i="1"/>
  <c r="Z196" i="1"/>
  <c r="W196" i="1"/>
  <c r="V196" i="1"/>
  <c r="Y196" i="1"/>
  <c r="Z184" i="1"/>
  <c r="Y184" i="1"/>
  <c r="X184" i="1"/>
  <c r="W184" i="1"/>
  <c r="R184" i="1"/>
  <c r="Z172" i="1"/>
  <c r="X172" i="1"/>
  <c r="U172" i="1"/>
  <c r="W172" i="1"/>
  <c r="R172" i="1"/>
  <c r="Z160" i="1"/>
  <c r="T160" i="1"/>
  <c r="V160" i="1"/>
  <c r="W160" i="1"/>
  <c r="Z148" i="1"/>
  <c r="Y148" i="1"/>
  <c r="W148" i="1"/>
  <c r="T148" i="1"/>
  <c r="S148" i="1"/>
  <c r="V148" i="1"/>
  <c r="Z136" i="1"/>
  <c r="X136" i="1"/>
  <c r="Z124" i="1"/>
  <c r="V124" i="1"/>
  <c r="W124" i="1"/>
  <c r="Z112" i="1"/>
  <c r="Y112" i="1"/>
  <c r="X112" i="1"/>
  <c r="T112" i="1"/>
  <c r="Z100" i="1"/>
  <c r="Y100" i="1"/>
  <c r="X100" i="1"/>
  <c r="U100" i="1"/>
  <c r="V100" i="1"/>
  <c r="Z88" i="1"/>
  <c r="T88" i="1"/>
  <c r="Y88" i="1"/>
  <c r="U88" i="1"/>
  <c r="X88" i="1"/>
  <c r="Z76" i="1"/>
  <c r="Y76" i="1"/>
  <c r="X76" i="1"/>
  <c r="S76" i="1"/>
  <c r="Z64" i="1"/>
  <c r="Y64" i="1"/>
  <c r="Z52" i="1"/>
  <c r="W52" i="1"/>
  <c r="Y52" i="1"/>
  <c r="X52" i="1"/>
  <c r="V52" i="1"/>
  <c r="U52" i="1"/>
  <c r="Z40" i="1"/>
  <c r="Y40" i="1"/>
  <c r="X40" i="1"/>
  <c r="W40" i="1"/>
  <c r="R40" i="1"/>
  <c r="Z28" i="1"/>
  <c r="Y28" i="1"/>
  <c r="X28" i="1"/>
  <c r="U28" i="1"/>
  <c r="R28" i="1"/>
  <c r="Z16" i="1"/>
  <c r="Y16" i="1"/>
  <c r="X16" i="1"/>
  <c r="T16" i="1"/>
  <c r="W16" i="1"/>
  <c r="R4" i="1"/>
  <c r="R280" i="1"/>
  <c r="R232" i="1"/>
  <c r="R59" i="1"/>
  <c r="S239" i="1"/>
  <c r="S83" i="1"/>
  <c r="T364" i="1"/>
  <c r="T280" i="1"/>
  <c r="T240" i="1"/>
  <c r="T220" i="1"/>
  <c r="T196" i="1"/>
  <c r="T136" i="1"/>
  <c r="T52" i="1"/>
  <c r="U59" i="1"/>
  <c r="V172" i="1"/>
  <c r="V28" i="1"/>
  <c r="W371" i="1"/>
  <c r="W280" i="1"/>
  <c r="X148" i="1"/>
  <c r="Y124" i="1"/>
  <c r="Y372" i="1"/>
  <c r="Z372" i="1"/>
  <c r="X372" i="1"/>
  <c r="W372" i="1"/>
  <c r="T372" i="1"/>
  <c r="V372" i="1"/>
  <c r="Y360" i="1"/>
  <c r="U360" i="1"/>
  <c r="V360" i="1"/>
  <c r="Y348" i="1"/>
  <c r="T348" i="1"/>
  <c r="U348" i="1"/>
  <c r="X348" i="1"/>
  <c r="Y336" i="1"/>
  <c r="X336" i="1"/>
  <c r="W336" i="1"/>
  <c r="S336" i="1"/>
  <c r="Y324" i="1"/>
  <c r="Z324" i="1"/>
  <c r="X324" i="1"/>
  <c r="Y312" i="1"/>
  <c r="X312" i="1"/>
  <c r="V312" i="1"/>
  <c r="W312" i="1"/>
  <c r="U312" i="1"/>
  <c r="Y300" i="1"/>
  <c r="Z300" i="1"/>
  <c r="X300" i="1"/>
  <c r="Y288" i="1"/>
  <c r="Z288" i="1"/>
  <c r="W288" i="1"/>
  <c r="X288" i="1"/>
  <c r="U288" i="1"/>
  <c r="R288" i="1"/>
  <c r="X276" i="1"/>
  <c r="Y276" i="1"/>
  <c r="W276" i="1"/>
  <c r="T276" i="1"/>
  <c r="Z276" i="1"/>
  <c r="V276" i="1"/>
  <c r="R276" i="1"/>
  <c r="X264" i="1"/>
  <c r="Y264" i="1"/>
  <c r="Z264" i="1"/>
  <c r="S264" i="1"/>
  <c r="W264" i="1"/>
  <c r="V264" i="1"/>
  <c r="X252" i="1"/>
  <c r="Y252" i="1"/>
  <c r="T252" i="1"/>
  <c r="X240" i="1"/>
  <c r="Y240" i="1"/>
  <c r="V240" i="1"/>
  <c r="X228" i="1"/>
  <c r="Y228" i="1"/>
  <c r="Z228" i="1"/>
  <c r="W228" i="1"/>
  <c r="X204" i="1"/>
  <c r="Y204" i="1"/>
  <c r="T204" i="1"/>
  <c r="Z204" i="1"/>
  <c r="X192" i="1"/>
  <c r="Y192" i="1"/>
  <c r="Z192" i="1"/>
  <c r="W192" i="1"/>
  <c r="U192" i="1"/>
  <c r="S192" i="1"/>
  <c r="X180" i="1"/>
  <c r="Y180" i="1"/>
  <c r="W180" i="1"/>
  <c r="Z180" i="1"/>
  <c r="X168" i="1"/>
  <c r="Y168" i="1"/>
  <c r="V168" i="1"/>
  <c r="Z168" i="1"/>
  <c r="X144" i="1"/>
  <c r="Y144" i="1"/>
  <c r="Z144" i="1"/>
  <c r="W144" i="1"/>
  <c r="U144" i="1"/>
  <c r="R144" i="1"/>
  <c r="X132" i="1"/>
  <c r="Y132" i="1"/>
  <c r="W132" i="1"/>
  <c r="T132" i="1"/>
  <c r="Z132" i="1"/>
  <c r="R132" i="1"/>
  <c r="X120" i="1"/>
  <c r="Y120" i="1"/>
  <c r="Z120" i="1"/>
  <c r="W120" i="1"/>
  <c r="V120" i="1"/>
  <c r="S120" i="1"/>
  <c r="X108" i="1"/>
  <c r="Y108" i="1"/>
  <c r="W108" i="1"/>
  <c r="V108" i="1"/>
  <c r="Z108" i="1"/>
  <c r="X96" i="1"/>
  <c r="Y96" i="1"/>
  <c r="Z96" i="1"/>
  <c r="V96" i="1"/>
  <c r="T96" i="1"/>
  <c r="W96" i="1"/>
  <c r="X84" i="1"/>
  <c r="Y84" i="1"/>
  <c r="Z84" i="1"/>
  <c r="W84" i="1"/>
  <c r="V84" i="1"/>
  <c r="X72" i="1"/>
  <c r="Y72" i="1"/>
  <c r="Z72" i="1"/>
  <c r="U72" i="1"/>
  <c r="W72" i="1"/>
  <c r="V72" i="1"/>
  <c r="X60" i="1"/>
  <c r="Y60" i="1"/>
  <c r="T60" i="1"/>
  <c r="Z60" i="1"/>
  <c r="X48" i="1"/>
  <c r="Y48" i="1"/>
  <c r="Z48" i="1"/>
  <c r="S48" i="1"/>
  <c r="W48" i="1"/>
  <c r="X36" i="1"/>
  <c r="Y36" i="1"/>
  <c r="Z36" i="1"/>
  <c r="U36" i="1"/>
  <c r="X24" i="1"/>
  <c r="Y24" i="1"/>
  <c r="Z24" i="1"/>
  <c r="V24" i="1"/>
  <c r="W24" i="1"/>
  <c r="X12" i="1"/>
  <c r="Y12" i="1"/>
  <c r="Z12" i="1"/>
  <c r="W12" i="1"/>
  <c r="R12" i="1"/>
  <c r="W4" i="1"/>
  <c r="R352" i="1"/>
  <c r="R336" i="1"/>
  <c r="T336" i="1"/>
  <c r="T192" i="1"/>
  <c r="T108" i="1"/>
  <c r="T48" i="1"/>
  <c r="T24" i="1"/>
  <c r="U372" i="1"/>
  <c r="U304" i="1"/>
  <c r="U280" i="1"/>
  <c r="U96" i="1"/>
  <c r="V348" i="1"/>
  <c r="V220" i="1"/>
  <c r="V192" i="1"/>
  <c r="V76" i="1"/>
  <c r="V48" i="1"/>
  <c r="W300" i="1"/>
  <c r="W112" i="1"/>
  <c r="X256" i="1"/>
  <c r="Y232" i="1"/>
  <c r="Y371" i="1"/>
  <c r="Z371" i="1"/>
  <c r="X371" i="1"/>
  <c r="V371" i="1"/>
  <c r="U371" i="1"/>
  <c r="Y359" i="1"/>
  <c r="Z359" i="1"/>
  <c r="X359" i="1"/>
  <c r="U359" i="1"/>
  <c r="W359" i="1"/>
  <c r="Y347" i="1"/>
  <c r="Z347" i="1"/>
  <c r="V347" i="1"/>
  <c r="U347" i="1"/>
  <c r="W347" i="1"/>
  <c r="Y335" i="1"/>
  <c r="Z335" i="1"/>
  <c r="T335" i="1"/>
  <c r="S335" i="1"/>
  <c r="Y323" i="1"/>
  <c r="Z323" i="1"/>
  <c r="W323" i="1"/>
  <c r="T323" i="1"/>
  <c r="Y311" i="1"/>
  <c r="Z311" i="1"/>
  <c r="X311" i="1"/>
  <c r="V311" i="1"/>
  <c r="U311" i="1"/>
  <c r="Y299" i="1"/>
  <c r="Z299" i="1"/>
  <c r="V299" i="1"/>
  <c r="X299" i="1"/>
  <c r="Y287" i="1"/>
  <c r="Z287" i="1"/>
  <c r="X287" i="1"/>
  <c r="U287" i="1"/>
  <c r="T287" i="1"/>
  <c r="Y275" i="1"/>
  <c r="Z275" i="1"/>
  <c r="W275" i="1"/>
  <c r="X275" i="1"/>
  <c r="V275" i="1"/>
  <c r="R275" i="1"/>
  <c r="Y263" i="1"/>
  <c r="Z263" i="1"/>
  <c r="X263" i="1"/>
  <c r="W263" i="1"/>
  <c r="T263" i="1"/>
  <c r="S263" i="1"/>
  <c r="R263" i="1"/>
  <c r="Y251" i="1"/>
  <c r="Z251" i="1"/>
  <c r="X251" i="1"/>
  <c r="W251" i="1"/>
  <c r="U251" i="1"/>
  <c r="Y239" i="1"/>
  <c r="Z239" i="1"/>
  <c r="X239" i="1"/>
  <c r="Y227" i="1"/>
  <c r="Z227" i="1"/>
  <c r="X227" i="1"/>
  <c r="V227" i="1"/>
  <c r="Y215" i="1"/>
  <c r="Z215" i="1"/>
  <c r="X215" i="1"/>
  <c r="U215" i="1"/>
  <c r="W215" i="1"/>
  <c r="Y203" i="1"/>
  <c r="Z203" i="1"/>
  <c r="X203" i="1"/>
  <c r="W203" i="1"/>
  <c r="V203" i="1"/>
  <c r="Y191" i="1"/>
  <c r="Z191" i="1"/>
  <c r="X191" i="1"/>
  <c r="T191" i="1"/>
  <c r="W191" i="1"/>
  <c r="U191" i="1"/>
  <c r="S191" i="1"/>
  <c r="Y167" i="1"/>
  <c r="Z167" i="1"/>
  <c r="X167" i="1"/>
  <c r="T167" i="1"/>
  <c r="V167" i="1"/>
  <c r="Y155" i="1"/>
  <c r="Z155" i="1"/>
  <c r="V155" i="1"/>
  <c r="W155" i="1"/>
  <c r="U155" i="1"/>
  <c r="Y143" i="1"/>
  <c r="Z143" i="1"/>
  <c r="X143" i="1"/>
  <c r="U143" i="1"/>
  <c r="Y131" i="1"/>
  <c r="Z131" i="1"/>
  <c r="W131" i="1"/>
  <c r="V131" i="1"/>
  <c r="R131" i="1"/>
  <c r="T131" i="1"/>
  <c r="X131" i="1"/>
  <c r="U131" i="1"/>
  <c r="Y119" i="1"/>
  <c r="Z119" i="1"/>
  <c r="W119" i="1"/>
  <c r="T119" i="1"/>
  <c r="S119" i="1"/>
  <c r="X119" i="1"/>
  <c r="R119" i="1"/>
  <c r="Y107" i="1"/>
  <c r="Z107" i="1"/>
  <c r="X107" i="1"/>
  <c r="Y95" i="1"/>
  <c r="Z95" i="1"/>
  <c r="W95" i="1"/>
  <c r="U95" i="1"/>
  <c r="Y83" i="1"/>
  <c r="Z83" i="1"/>
  <c r="V83" i="1"/>
  <c r="W83" i="1"/>
  <c r="Y59" i="1"/>
  <c r="Z59" i="1"/>
  <c r="X59" i="1"/>
  <c r="V59" i="1"/>
  <c r="Y47" i="1"/>
  <c r="Z47" i="1"/>
  <c r="T47" i="1"/>
  <c r="S47" i="1"/>
  <c r="X47" i="1"/>
  <c r="W47" i="1"/>
  <c r="Y35" i="1"/>
  <c r="Z35" i="1"/>
  <c r="X35" i="1"/>
  <c r="U35" i="1"/>
  <c r="Y23" i="1"/>
  <c r="Z23" i="1"/>
  <c r="V23" i="1"/>
  <c r="X4" i="1"/>
  <c r="R335" i="1"/>
  <c r="R287" i="1"/>
  <c r="R148" i="1"/>
  <c r="R100" i="1"/>
  <c r="R84" i="1"/>
  <c r="R52" i="1"/>
  <c r="R36" i="1"/>
  <c r="S352" i="1"/>
  <c r="S316" i="1"/>
  <c r="S300" i="1"/>
  <c r="S196" i="1"/>
  <c r="S180" i="1"/>
  <c r="S160" i="1"/>
  <c r="S144" i="1"/>
  <c r="S40" i="1"/>
  <c r="S24" i="1"/>
  <c r="T251" i="1"/>
  <c r="T107" i="1"/>
  <c r="T23" i="1"/>
  <c r="U324" i="1"/>
  <c r="U300" i="1"/>
  <c r="U232" i="1"/>
  <c r="U184" i="1"/>
  <c r="U48" i="1"/>
  <c r="U24" i="1"/>
  <c r="V191" i="1"/>
  <c r="V47" i="1"/>
  <c r="W360" i="1"/>
  <c r="W299" i="1"/>
  <c r="W268" i="1"/>
  <c r="W76" i="1"/>
  <c r="X304" i="1"/>
  <c r="X124" i="1"/>
  <c r="Y160" i="1"/>
  <c r="Z336" i="1"/>
  <c r="X8" i="1"/>
  <c r="Z8" i="1"/>
  <c r="S8" i="1"/>
  <c r="T8" i="1"/>
  <c r="W111" i="1" l="1"/>
  <c r="Z111" i="1"/>
  <c r="X110" i="1"/>
  <c r="X156" i="1"/>
  <c r="U111" i="1"/>
  <c r="V111" i="1"/>
  <c r="R111" i="1"/>
  <c r="Y111" i="1"/>
  <c r="X111" i="1"/>
  <c r="Z110" i="1"/>
  <c r="Y110" i="1"/>
  <c r="X205" i="1"/>
  <c r="R205" i="1"/>
  <c r="W205" i="1"/>
  <c r="V265" i="1"/>
  <c r="U63" i="1"/>
  <c r="W63" i="1"/>
  <c r="Z63" i="1"/>
  <c r="S265" i="1"/>
  <c r="R33" i="1"/>
  <c r="U265" i="1"/>
  <c r="W265" i="1"/>
  <c r="Y265" i="1"/>
  <c r="R265" i="1"/>
  <c r="X9" i="1"/>
  <c r="S9" i="1"/>
  <c r="W9" i="1"/>
  <c r="Y156" i="1"/>
  <c r="Y9" i="1"/>
  <c r="Z9" i="1"/>
  <c r="V156" i="1"/>
  <c r="R9" i="1"/>
  <c r="U156" i="1"/>
  <c r="Z156" i="1"/>
  <c r="S156" i="1"/>
  <c r="T156" i="1"/>
  <c r="Y219" i="1"/>
  <c r="W219" i="1"/>
  <c r="X219" i="1"/>
  <c r="U219" i="1"/>
  <c r="V219" i="1"/>
  <c r="S219" i="1"/>
  <c r="R219" i="1"/>
  <c r="X194" i="1"/>
  <c r="Y293" i="1"/>
  <c r="W216" i="1"/>
  <c r="V216" i="1"/>
  <c r="Y216" i="1"/>
  <c r="T9" i="1"/>
  <c r="W156" i="1"/>
  <c r="R189" i="1"/>
  <c r="W194" i="1"/>
  <c r="T123" i="1"/>
  <c r="Z179" i="1"/>
  <c r="W159" i="1"/>
  <c r="S194" i="1"/>
  <c r="R194" i="1"/>
  <c r="U216" i="1"/>
  <c r="Z216" i="1"/>
  <c r="X216" i="1"/>
  <c r="Y189" i="1"/>
  <c r="Z189" i="1"/>
  <c r="U42" i="1"/>
  <c r="T10" i="1"/>
  <c r="W189" i="1"/>
  <c r="X173" i="1"/>
  <c r="X42" i="1"/>
  <c r="S216" i="1"/>
  <c r="T216" i="1"/>
  <c r="W176" i="1"/>
  <c r="V293" i="1"/>
  <c r="U176" i="1"/>
  <c r="Z123" i="1"/>
  <c r="S176" i="1"/>
  <c r="R11" i="1"/>
  <c r="X195" i="1"/>
  <c r="T176" i="1"/>
  <c r="Z11" i="1"/>
  <c r="R195" i="1"/>
  <c r="X176" i="1"/>
  <c r="V9" i="1"/>
  <c r="R42" i="1"/>
  <c r="Y11" i="1"/>
  <c r="T194" i="1"/>
  <c r="Y194" i="1"/>
  <c r="V81" i="1"/>
  <c r="V195" i="1"/>
  <c r="Y176" i="1"/>
  <c r="Z194" i="1"/>
  <c r="X81" i="1"/>
  <c r="R176" i="1"/>
  <c r="Z176" i="1"/>
  <c r="T150" i="1"/>
  <c r="S195" i="1"/>
  <c r="W231" i="1"/>
  <c r="W51" i="1"/>
  <c r="U194" i="1"/>
  <c r="R81" i="1"/>
  <c r="Y195" i="1"/>
  <c r="W222" i="1"/>
  <c r="T11" i="1"/>
  <c r="U195" i="1"/>
  <c r="S11" i="1"/>
  <c r="X11" i="1"/>
  <c r="T179" i="1"/>
  <c r="V71" i="1"/>
  <c r="U71" i="1"/>
  <c r="Y330" i="1"/>
  <c r="Z71" i="1"/>
  <c r="Y33" i="1"/>
  <c r="Z33" i="1"/>
  <c r="U303" i="1"/>
  <c r="T294" i="1"/>
  <c r="T267" i="1"/>
  <c r="S33" i="1"/>
  <c r="S267" i="1"/>
  <c r="R303" i="1"/>
  <c r="Z294" i="1"/>
  <c r="T33" i="1"/>
  <c r="W33" i="1"/>
  <c r="V33" i="1"/>
  <c r="R330" i="1"/>
  <c r="U231" i="1"/>
  <c r="V222" i="1"/>
  <c r="V11" i="1"/>
  <c r="W10" i="1"/>
  <c r="Z195" i="1"/>
  <c r="Y375" i="1"/>
  <c r="U222" i="1"/>
  <c r="S179" i="1"/>
  <c r="U179" i="1"/>
  <c r="R10" i="1"/>
  <c r="T231" i="1"/>
  <c r="X222" i="1"/>
  <c r="W179" i="1"/>
  <c r="Z10" i="1"/>
  <c r="W195" i="1"/>
  <c r="S231" i="1"/>
  <c r="Z222" i="1"/>
  <c r="W150" i="1"/>
  <c r="S10" i="1"/>
  <c r="W11" i="1"/>
  <c r="V10" i="1"/>
  <c r="X179" i="1"/>
  <c r="T222" i="1"/>
  <c r="Y231" i="1"/>
  <c r="Y222" i="1"/>
  <c r="V150" i="1"/>
  <c r="X10" i="1"/>
  <c r="V179" i="1"/>
  <c r="V330" i="1"/>
  <c r="R150" i="1"/>
  <c r="Z231" i="1"/>
  <c r="U150" i="1"/>
  <c r="U10" i="1"/>
  <c r="X150" i="1"/>
  <c r="V231" i="1"/>
  <c r="Y179" i="1"/>
  <c r="R222" i="1"/>
  <c r="Z150" i="1"/>
  <c r="R231" i="1"/>
  <c r="Z213" i="1"/>
  <c r="W303" i="1"/>
  <c r="Y150" i="1"/>
  <c r="S42" i="1"/>
  <c r="S78" i="1"/>
  <c r="Z293" i="1"/>
  <c r="X330" i="1"/>
  <c r="X261" i="1"/>
  <c r="T303" i="1"/>
  <c r="W42" i="1"/>
  <c r="U330" i="1"/>
  <c r="V261" i="1"/>
  <c r="V303" i="1"/>
  <c r="T42" i="1"/>
  <c r="S226" i="1"/>
  <c r="Z375" i="1"/>
  <c r="Z330" i="1"/>
  <c r="W261" i="1"/>
  <c r="V42" i="1"/>
  <c r="S123" i="1"/>
  <c r="S293" i="1"/>
  <c r="Z226" i="1"/>
  <c r="U375" i="1"/>
  <c r="T330" i="1"/>
  <c r="V366" i="1"/>
  <c r="U189" i="1"/>
  <c r="R123" i="1"/>
  <c r="T375" i="1"/>
  <c r="Z42" i="1"/>
  <c r="S375" i="1"/>
  <c r="R366" i="1"/>
  <c r="T189" i="1"/>
  <c r="W123" i="1"/>
  <c r="W375" i="1"/>
  <c r="T293" i="1"/>
  <c r="X189" i="1"/>
  <c r="V123" i="1"/>
  <c r="S303" i="1"/>
  <c r="X123" i="1"/>
  <c r="V375" i="1"/>
  <c r="Y173" i="1"/>
  <c r="U293" i="1"/>
  <c r="Y226" i="1"/>
  <c r="V189" i="1"/>
  <c r="Y123" i="1"/>
  <c r="X375" i="1"/>
  <c r="X293" i="1"/>
  <c r="S330" i="1"/>
  <c r="W153" i="1"/>
  <c r="U261" i="1"/>
  <c r="S261" i="1"/>
  <c r="Z173" i="1"/>
  <c r="X213" i="1"/>
  <c r="V51" i="1"/>
  <c r="R159" i="1"/>
  <c r="T78" i="1"/>
  <c r="X303" i="1"/>
  <c r="T173" i="1"/>
  <c r="T51" i="1"/>
  <c r="R78" i="1"/>
  <c r="T213" i="1"/>
  <c r="S51" i="1"/>
  <c r="Y51" i="1"/>
  <c r="X159" i="1"/>
  <c r="V78" i="1"/>
  <c r="R173" i="1"/>
  <c r="R153" i="1"/>
  <c r="U213" i="1"/>
  <c r="U51" i="1"/>
  <c r="V159" i="1"/>
  <c r="R261" i="1"/>
  <c r="U78" i="1"/>
  <c r="U159" i="1"/>
  <c r="S159" i="1"/>
  <c r="Z51" i="1"/>
  <c r="Y261" i="1"/>
  <c r="S153" i="1"/>
  <c r="V213" i="1"/>
  <c r="X51" i="1"/>
  <c r="W78" i="1"/>
  <c r="T153" i="1"/>
  <c r="Y213" i="1"/>
  <c r="X78" i="1"/>
  <c r="X153" i="1"/>
  <c r="W213" i="1"/>
  <c r="S213" i="1"/>
  <c r="W173" i="1"/>
  <c r="Z78" i="1"/>
  <c r="Y153" i="1"/>
  <c r="S117" i="1"/>
  <c r="W339" i="1"/>
  <c r="U173" i="1"/>
  <c r="V153" i="1"/>
  <c r="Y159" i="1"/>
  <c r="Z153" i="1"/>
  <c r="Z261" i="1"/>
  <c r="Y339" i="1"/>
  <c r="V173" i="1"/>
  <c r="T159" i="1"/>
  <c r="Z303" i="1"/>
  <c r="V117" i="1"/>
  <c r="W15" i="1"/>
  <c r="S339" i="1"/>
  <c r="X71" i="1"/>
  <c r="X366" i="1"/>
  <c r="U81" i="1"/>
  <c r="X117" i="1"/>
  <c r="Z15" i="1"/>
  <c r="V339" i="1"/>
  <c r="V294" i="1"/>
  <c r="X15" i="1"/>
  <c r="X294" i="1"/>
  <c r="W294" i="1"/>
  <c r="W71" i="1"/>
  <c r="T81" i="1"/>
  <c r="Y117" i="1"/>
  <c r="T339" i="1"/>
  <c r="U294" i="1"/>
  <c r="R339" i="1"/>
  <c r="S366" i="1"/>
  <c r="Z117" i="1"/>
  <c r="Y71" i="1"/>
  <c r="W366" i="1"/>
  <c r="W81" i="1"/>
  <c r="W117" i="1"/>
  <c r="X339" i="1"/>
  <c r="Y294" i="1"/>
  <c r="T15" i="1"/>
  <c r="U366" i="1"/>
  <c r="Y81" i="1"/>
  <c r="V267" i="1"/>
  <c r="Z339" i="1"/>
  <c r="R267" i="1"/>
  <c r="R117" i="1"/>
  <c r="S81" i="1"/>
  <c r="Z366" i="1"/>
  <c r="U267" i="1"/>
  <c r="Y15" i="1"/>
  <c r="W267" i="1"/>
  <c r="S294" i="1"/>
  <c r="Y366" i="1"/>
  <c r="X267" i="1"/>
  <c r="S15" i="1"/>
  <c r="U15" i="1"/>
  <c r="Y267" i="1"/>
  <c r="U117" i="1"/>
  <c r="V15" i="1"/>
  <c r="R293" i="1"/>
  <c r="S370" i="1"/>
  <c r="Z370" i="1"/>
  <c r="T71" i="1"/>
  <c r="T370" i="1"/>
  <c r="W370" i="1"/>
  <c r="R71" i="1"/>
  <c r="R226" i="1"/>
  <c r="U226" i="1"/>
  <c r="V226" i="1"/>
  <c r="X226" i="1"/>
  <c r="T226" i="1"/>
  <c r="U370" i="1"/>
  <c r="V370" i="1"/>
  <c r="R370" i="1"/>
  <c r="T230" i="1"/>
  <c r="Y370" i="1"/>
  <c r="V230" i="1"/>
  <c r="Z230" i="1"/>
  <c r="S230" i="1"/>
  <c r="Y230" i="1"/>
  <c r="U230" i="1"/>
  <c r="S86" i="1"/>
  <c r="V86" i="1"/>
  <c r="W86" i="1"/>
  <c r="Y86" i="1"/>
  <c r="X230" i="1"/>
  <c r="R230" i="1"/>
  <c r="T86" i="1"/>
  <c r="X86" i="1"/>
  <c r="R86" i="1"/>
  <c r="U8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16AA1D-6631-4A24-BAF1-4287A32C74DC}" keepAlive="1" name="Query - All_India_Index_Upto_April23 (1) (1)" description="Connection to the 'All_India_Index_Upto_April23 (1) (1)' query in the workbook." type="5" refreshedVersion="8" background="1" saveData="1">
    <dbPr connection="Provider=Microsoft.Mashup.OleDb.1;Data Source=$Workbook$;Location=&quot;All_India_Index_Upto_April23 (1) (1)&quot;;Extended Properties=&quot;&quot;" command="SELECT * FROM [All_India_Index_Upto_April23 (1) (1)]"/>
  </connection>
</connections>
</file>

<file path=xl/sharedStrings.xml><?xml version="1.0" encoding="utf-8"?>
<sst xmlns="http://schemas.openxmlformats.org/spreadsheetml/2006/main" count="2159" uniqueCount="201">
  <si>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</si>
  <si>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</si>
  <si>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</si>
  <si>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</si>
  <si>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</si>
  <si>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</si>
  <si>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</si>
  <si>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</si>
  <si>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</si>
  <si>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</si>
  <si>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</si>
  <si>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</si>
  <si>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</si>
  <si>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</si>
  <si>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</si>
  <si>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</si>
  <si>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</si>
  <si>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</si>
  <si>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</si>
  <si>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</si>
  <si>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</si>
  <si>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</si>
  <si>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</si>
  <si>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</si>
  <si>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</si>
  <si>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</si>
  <si>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</si>
  <si>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</si>
  <si>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</si>
  <si>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</si>
  <si>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</si>
  <si>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</si>
  <si>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</si>
  <si>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</si>
  <si>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</si>
  <si>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</si>
  <si>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</si>
  <si>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</si>
  <si>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</si>
  <si>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</si>
  <si>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</si>
  <si>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</si>
  <si>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</si>
  <si>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</si>
  <si>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</si>
  <si>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</si>
  <si>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</si>
  <si>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</si>
  <si>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</si>
  <si>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</si>
  <si>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</si>
  <si>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</si>
  <si>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</si>
  <si>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</si>
  <si>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</si>
  <si>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</si>
  <si>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</si>
  <si>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</si>
  <si>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</si>
  <si>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</si>
  <si>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</si>
  <si>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</si>
  <si>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</si>
  <si>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</si>
  <si>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</si>
  <si>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</si>
  <si>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</si>
  <si>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</si>
  <si>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</si>
  <si>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</si>
  <si>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</si>
  <si>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</si>
  <si>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</si>
  <si>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</si>
  <si>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</si>
  <si>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</si>
  <si>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</si>
  <si>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</si>
  <si>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</si>
  <si>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</si>
  <si>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</si>
  <si>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</si>
  <si>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</si>
  <si>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</si>
  <si>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</si>
  <si>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</si>
  <si>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</si>
  <si>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</si>
  <si>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</si>
  <si>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</si>
  <si>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</si>
  <si>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</si>
  <si>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</si>
  <si>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</si>
  <si>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</si>
  <si>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</si>
  <si>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</si>
  <si>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</si>
  <si>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</si>
  <si>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</si>
  <si>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</si>
  <si>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</si>
  <si>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</si>
  <si>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</si>
  <si>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</si>
  <si>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</si>
  <si>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</si>
  <si>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</si>
  <si>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</si>
  <si>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</si>
  <si>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</si>
  <si>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</si>
  <si>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</si>
  <si>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</si>
  <si>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</si>
  <si>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</si>
  <si>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</si>
  <si>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</si>
  <si>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</si>
  <si>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</si>
  <si>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</si>
  <si>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</si>
  <si>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</si>
  <si>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</si>
  <si>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</si>
  <si>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</si>
  <si>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</si>
  <si>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</si>
  <si>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</si>
  <si>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</si>
  <si>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</si>
  <si>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</si>
  <si>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</si>
  <si>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</si>
  <si>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</si>
  <si>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</si>
  <si>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</si>
  <si>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</si>
  <si>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</si>
  <si>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</si>
  <si>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</si>
  <si>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</si>
  <si>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</si>
  <si>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</si>
  <si>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</si>
  <si>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</si>
  <si>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</si>
  <si>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</si>
  <si>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</si>
  <si>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</si>
  <si>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</si>
  <si>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</si>
  <si>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</si>
  <si>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</si>
  <si>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</si>
  <si>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</si>
  <si>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</si>
  <si>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</si>
  <si>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</si>
  <si>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</si>
  <si>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</si>
  <si>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</si>
  <si>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</si>
  <si>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</si>
  <si>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Food</t>
  </si>
  <si>
    <t>Food Category</t>
  </si>
  <si>
    <t>Transport</t>
  </si>
  <si>
    <t>Personal care</t>
  </si>
  <si>
    <t>tobacco</t>
  </si>
  <si>
    <t>Household Services</t>
  </si>
  <si>
    <t>Recreation</t>
  </si>
  <si>
    <t>Tobacco</t>
  </si>
  <si>
    <t>Personal Care</t>
  </si>
  <si>
    <t>General Index</t>
  </si>
  <si>
    <t>Total sum</t>
  </si>
  <si>
    <t>Average Of Each Category</t>
  </si>
  <si>
    <t>% Contribution of each category</t>
  </si>
  <si>
    <t>Row Labels</t>
  </si>
  <si>
    <t>Grand Total</t>
  </si>
  <si>
    <t>Average of General index</t>
  </si>
  <si>
    <t>Current year inflation</t>
  </si>
  <si>
    <t>2. Inflation increased sharply from 4.53% in 2020 to 7.14% in 2021, indicating a significant rise in consumer prices.</t>
  </si>
  <si>
    <t>3. Inflation moderated in 2022 (6.60%) and declined further to 3.20% in 2023, suggesting that price pressures eased compared to 2021.</t>
  </si>
  <si>
    <t>Insight</t>
  </si>
  <si>
    <t>Absolute change</t>
  </si>
  <si>
    <t>Spices contributed the most to food inflation during the 12-month period.</t>
  </si>
  <si>
    <t>% Change</t>
  </si>
  <si>
    <t>After Covid</t>
  </si>
  <si>
    <t>Before covid</t>
  </si>
  <si>
    <t>Column Labels</t>
  </si>
  <si>
    <t>Total Average of Food</t>
  </si>
  <si>
    <t>Average of Food</t>
  </si>
  <si>
    <t>Total Average of Personal Care</t>
  </si>
  <si>
    <t>Average of Personal Care</t>
  </si>
  <si>
    <t>Average of General Index</t>
  </si>
  <si>
    <t>Total Average of General Index</t>
  </si>
  <si>
    <t>The COVID-19 pandemic significantly affected inflation in India after March 2020. Food inflation increased due to supply chain disruptions and transportation restrictions during the nationwide lockdown. Healthcare inflation also rose because of higher demand for medical services and essential healthcare products. Although CPI data for April and May 2020 contains missing values due to disruptions in data collection, the subsequent months indicate a noticeable increase in inflation across key categories, especially Food and Health.</t>
  </si>
  <si>
    <t xml:space="preserve">Imported Crude Oil </t>
  </si>
  <si>
    <r>
      <t xml:space="preserve">1. The highest Year-over-Year </t>
    </r>
    <r>
      <rPr>
        <b/>
        <sz val="11"/>
        <color rgb="FFFF0000"/>
        <rFont val="Calibri"/>
        <family val="2"/>
        <scheme val="minor"/>
      </rPr>
      <t>CPI inflation occurred in 2021, reaching 7.14%.</t>
    </r>
  </si>
  <si>
    <t>Transport &amp; Communication also showed a strong positive relationship because higher fuel costs increased transportation expenses. Categories such as Food &amp; Beverages were moderately affected, while Housing and Health showed comparatively weaker relationships.</t>
  </si>
  <si>
    <t xml:space="preserve">Co-relation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</si>
</sst>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1"/>
      <color theme="0"/>
      <name val="Calibri"/>
      <family val="2"/>
      <scheme val="minor"/>
    </font>
    <font>
      <sz val="20"/>
      <color theme="1"/>
      <name val="Calibri"/>
      <family val="2"/>
      <scheme val="minor"/>
    </font>
    <font>
      <sz val="24"/>
      <color theme="1"/>
      <name val="Calibri"/>
      <family val="2"/>
      <scheme val="minor"/>
    </font>
    <font>
      <sz val="26"/>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b/>
      <sz val="11"/>
      <color rgb="FFFF0000"/>
      <name val="Calibri"/>
      <family val="2"/>
      <scheme val="minor"/>
    </font>
    <font>
      <b/>
      <sz val="14"/>
      <color theme="1"/>
      <name val="Calibri"/>
      <family val="2"/>
      <scheme val="minor"/>
    </font>
  </fonts>
  <fills count="18">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rgb="FFFF0000"/>
        <bgColor indexed="64"/>
      </patternFill>
    </fill>
    <fill>
      <patternFill patternType="solid">
        <fgColor rgb="FF002060"/>
        <bgColor theme="9"/>
      </patternFill>
    </fill>
    <fill>
      <patternFill patternType="solid">
        <fgColor rgb="FF7030A0"/>
        <bgColor theme="9"/>
      </patternFill>
    </fill>
    <fill>
      <patternFill patternType="solid">
        <fgColor rgb="FF92D05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49">
    <xf numFmtId="0" fontId="0" fillId="0" borderId="0" xfId="0"/>
    <xf numFmtId="0" fontId="0" fillId="0" borderId="1" xfId="0" applyBorder="1"/>
    <xf numFmtId="164" fontId="0" fillId="0" borderId="1" xfId="0" applyNumberFormat="1" applyBorder="1"/>
    <xf numFmtId="0" fontId="0" fillId="3" borderId="3" xfId="0" applyFill="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2" fontId="0" fillId="0" borderId="1" xfId="1" applyNumberFormat="1" applyFont="1" applyBorder="1" applyAlignment="1">
      <alignment horizontal="center"/>
    </xf>
    <xf numFmtId="2" fontId="0" fillId="0" borderId="1" xfId="0" applyNumberFormat="1" applyBorder="1" applyAlignment="1">
      <alignment horizontal="center"/>
    </xf>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1" applyNumberFormat="1" applyFont="1"/>
    <xf numFmtId="0" fontId="0" fillId="13" borderId="0" xfId="0" applyFill="1" applyAlignment="1">
      <alignment horizontal="center" vertical="center"/>
    </xf>
    <xf numFmtId="0" fontId="0" fillId="0" borderId="0" xfId="1" applyNumberFormat="1" applyFont="1"/>
    <xf numFmtId="10" fontId="0" fillId="0" borderId="1" xfId="0" applyNumberFormat="1" applyBorder="1"/>
    <xf numFmtId="10" fontId="0" fillId="0" borderId="1" xfId="1" applyNumberFormat="1" applyFont="1" applyBorder="1"/>
    <xf numFmtId="14" fontId="0" fillId="3" borderId="3" xfId="0" applyNumberFormat="1" applyFill="1" applyBorder="1" applyAlignment="1">
      <alignment horizontal="center"/>
    </xf>
    <xf numFmtId="164" fontId="0" fillId="0" borderId="0" xfId="1" applyNumberFormat="1" applyFont="1"/>
    <xf numFmtId="0" fontId="0" fillId="4" borderId="1" xfId="0" applyFill="1" applyBorder="1"/>
    <xf numFmtId="0" fontId="0" fillId="0" borderId="0" xfId="0" applyAlignment="1">
      <alignment horizontal="left" indent="1"/>
    </xf>
    <xf numFmtId="0" fontId="6" fillId="0" borderId="1" xfId="0" applyFont="1" applyBorder="1"/>
    <xf numFmtId="0" fontId="6" fillId="4" borderId="1" xfId="0" applyFont="1" applyFill="1" applyBorder="1"/>
    <xf numFmtId="0" fontId="0" fillId="11" borderId="1" xfId="0" applyFill="1" applyBorder="1"/>
    <xf numFmtId="0" fontId="0" fillId="5" borderId="1" xfId="0" applyFill="1" applyBorder="1"/>
    <xf numFmtId="0" fontId="0" fillId="7" borderId="1" xfId="0" applyFill="1" applyBorder="1"/>
    <xf numFmtId="0" fontId="0" fillId="16" borderId="1" xfId="0" applyFill="1" applyBorder="1"/>
    <xf numFmtId="0" fontId="0" fillId="17" borderId="1" xfId="0" applyFill="1" applyBorder="1"/>
    <xf numFmtId="9" fontId="0" fillId="0" borderId="1" xfId="1" applyFont="1" applyBorder="1"/>
    <xf numFmtId="0" fontId="10" fillId="15" borderId="0" xfId="0" applyFont="1" applyFill="1" applyAlignment="1">
      <alignment horizontal="center" vertical="center" wrapText="1"/>
    </xf>
    <xf numFmtId="0" fontId="4" fillId="4" borderId="1" xfId="0" applyFont="1" applyFill="1" applyBorder="1" applyAlignment="1">
      <alignment horizontal="center" vertical="center"/>
    </xf>
    <xf numFmtId="0" fontId="0" fillId="4" borderId="1" xfId="0" applyFill="1" applyBorder="1" applyAlignment="1">
      <alignment horizontal="center" vertical="center"/>
    </xf>
    <xf numFmtId="0" fontId="2" fillId="5" borderId="1" xfId="0" applyFont="1" applyFill="1" applyBorder="1" applyAlignment="1">
      <alignment horizontal="center" vertical="center"/>
    </xf>
    <xf numFmtId="0" fontId="0" fillId="6" borderId="1" xfId="0" applyFill="1" applyBorder="1" applyAlignment="1">
      <alignment horizontal="center" vertical="center"/>
    </xf>
    <xf numFmtId="0" fontId="0" fillId="7" borderId="0" xfId="0" applyFill="1" applyAlignment="1">
      <alignment horizontal="center" vertical="center"/>
    </xf>
    <xf numFmtId="0" fontId="0" fillId="8" borderId="1" xfId="0" applyFill="1" applyBorder="1" applyAlignment="1">
      <alignment horizontal="center" vertical="center"/>
    </xf>
    <xf numFmtId="0" fontId="1" fillId="2"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0" fillId="11" borderId="2" xfId="0" applyFill="1" applyBorder="1" applyAlignment="1">
      <alignment horizontal="center" vertical="center"/>
    </xf>
    <xf numFmtId="0" fontId="3" fillId="4" borderId="1" xfId="0" applyFont="1" applyFill="1" applyBorder="1" applyAlignment="1">
      <alignment horizontal="center" vertical="center"/>
    </xf>
    <xf numFmtId="0" fontId="2" fillId="12" borderId="1" xfId="0" applyFont="1" applyFill="1" applyBorder="1" applyAlignment="1">
      <alignment horizontal="center"/>
    </xf>
    <xf numFmtId="0" fontId="7" fillId="4" borderId="0" xfId="0" applyFont="1" applyFill="1" applyAlignment="1">
      <alignment horizontal="center" vertical="center"/>
    </xf>
    <xf numFmtId="0" fontId="8" fillId="4" borderId="0" xfId="0" applyFont="1" applyFill="1" applyAlignment="1">
      <alignment horizontal="center" vertical="center"/>
    </xf>
    <xf numFmtId="0" fontId="6" fillId="14" borderId="0" xfId="0" applyFont="1" applyFill="1" applyAlignment="1">
      <alignment horizontal="center" wrapText="1"/>
    </xf>
  </cellXfs>
  <cellStyles count="2">
    <cellStyle name="Normal" xfId="0" builtinId="0"/>
    <cellStyle name="Percent" xfId="1" builtinId="5"/>
  </cellStyles>
  <dxfs count="32">
    <dxf>
      <numFmt numFmtId="2" formatCode="0.00"/>
    </dxf>
    <dxf>
      <numFmt numFmtId="2" formatCode="0.00"/>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Contribution</a:t>
            </a:r>
            <a:r>
              <a:rPr lang="en-IN" baseline="0"/>
              <a:t> of category in Rural + Urban</a:t>
            </a:r>
            <a:endParaRPr lang="en-IN"/>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- 1'!$R$1:$Z$1</c:f>
              <c:strCache>
                <c:ptCount val="9"/>
                <c:pt idx="0">
                  <c:v>Food</c:v>
                </c:pt>
                <c:pt idx="1">
                  <c:v>Tobacco</c:v>
                </c:pt>
                <c:pt idx="2">
                  <c:v>Footwear</c:v>
                </c:pt>
                <c:pt idx="3">
                  <c:v>Housing</c:v>
                </c:pt>
                <c:pt idx="4">
                  <c:v>Household Services</c:v>
                </c:pt>
                <c:pt idx="5">
                  <c:v>Transport</c:v>
                </c:pt>
                <c:pt idx="6">
                  <c:v>Recreation</c:v>
                </c:pt>
                <c:pt idx="7">
                  <c:v>Education</c:v>
                </c:pt>
                <c:pt idx="8">
                  <c:v>Personal Care</c:v>
                </c:pt>
              </c:strCache>
            </c:strRef>
          </c:cat>
          <c:val>
            <c:numRef>
              <c:f>'Answer - 1'!$R$2:$Z$2</c:f>
              <c:numCache>
                <c:formatCode>0%</c:formatCode>
                <c:ptCount val="9"/>
                <c:pt idx="0">
                  <c:v>9.8579782790309115E-2</c:v>
                </c:pt>
                <c:pt idx="1">
                  <c:v>0.11166022473062451</c:v>
                </c:pt>
                <c:pt idx="2">
                  <c:v>0.10243853452899085</c:v>
                </c:pt>
                <c:pt idx="3">
                  <c:v>0.10154969691919484</c:v>
                </c:pt>
                <c:pt idx="4">
                  <c:v>0.10024421667980693</c:v>
                </c:pt>
                <c:pt idx="5">
                  <c:v>9.1550273808989655E-2</c:v>
                </c:pt>
                <c:pt idx="6">
                  <c:v>9.5105624248173704E-2</c:v>
                </c:pt>
                <c:pt idx="7">
                  <c:v>9.8383212934296513E-2</c:v>
                </c:pt>
                <c:pt idx="8">
                  <c:v>0.10288295333388885</c:v>
                </c:pt>
              </c:numCache>
            </c:numRef>
          </c:val>
          <c:extLst>
            <c:ext xmlns:c16="http://schemas.microsoft.com/office/drawing/2014/chart" uri="{C3380CC4-5D6E-409C-BE32-E72D297353CC}">
              <c16:uniqueId val="{00000000-4CA4-4DC0-90B8-7156D4C56142}"/>
            </c:ext>
          </c:extLst>
        </c:ser>
        <c:dLbls>
          <c:dLblPos val="outEnd"/>
          <c:showLegendKey val="0"/>
          <c:showVal val="1"/>
          <c:showCatName val="0"/>
          <c:showSerName val="0"/>
          <c:showPercent val="0"/>
          <c:showBubbleSize val="0"/>
        </c:dLbls>
        <c:gapWidth val="219"/>
        <c:overlap val="-27"/>
        <c:axId val="567915952"/>
        <c:axId val="567910672"/>
      </c:barChart>
      <c:catAx>
        <c:axId val="56791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10672"/>
        <c:crosses val="autoZero"/>
        <c:auto val="1"/>
        <c:lblAlgn val="ctr"/>
        <c:lblOffset val="100"/>
        <c:noMultiLvlLbl val="0"/>
      </c:catAx>
      <c:valAx>
        <c:axId val="567910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15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2000" b="0" i="0" u="none" strike="noStrike" kern="1200" spc="0" baseline="0">
                <a:solidFill>
                  <a:sysClr val="windowText" lastClr="000000">
                    <a:lumMod val="65000"/>
                    <a:lumOff val="35000"/>
                  </a:sysClr>
                </a:solidFill>
              </a:rPr>
              <a:t>Contribution of category for Rural</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solidFill>
          <a:srgbClr val="FF0000"/>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- 1'!$R$5:$Z$5</c:f>
              <c:strCache>
                <c:ptCount val="9"/>
                <c:pt idx="0">
                  <c:v>Food</c:v>
                </c:pt>
                <c:pt idx="1">
                  <c:v>Tobacco</c:v>
                </c:pt>
                <c:pt idx="2">
                  <c:v>Footwear</c:v>
                </c:pt>
                <c:pt idx="3">
                  <c:v>Housing</c:v>
                </c:pt>
                <c:pt idx="4">
                  <c:v>Household Services</c:v>
                </c:pt>
                <c:pt idx="5">
                  <c:v>Transport</c:v>
                </c:pt>
                <c:pt idx="6">
                  <c:v>Recreation</c:v>
                </c:pt>
                <c:pt idx="7">
                  <c:v>Education</c:v>
                </c:pt>
                <c:pt idx="8">
                  <c:v>Personal Care</c:v>
                </c:pt>
              </c:strCache>
            </c:strRef>
          </c:cat>
          <c:val>
            <c:numRef>
              <c:f>'Answer - 1'!$R$6:$Z$6</c:f>
              <c:numCache>
                <c:formatCode>0%</c:formatCode>
                <c:ptCount val="9"/>
                <c:pt idx="0">
                  <c:v>9.6786869176253218E-2</c:v>
                </c:pt>
                <c:pt idx="1">
                  <c:v>0.1098005137854495</c:v>
                </c:pt>
                <c:pt idx="2">
                  <c:v>0.10434436019064146</c:v>
                </c:pt>
                <c:pt idx="3">
                  <c:v>0.10024309037440987</c:v>
                </c:pt>
                <c:pt idx="4">
                  <c:v>0.1009571507442002</c:v>
                </c:pt>
                <c:pt idx="5">
                  <c:v>9.3212342118012909E-2</c:v>
                </c:pt>
                <c:pt idx="6">
                  <c:v>9.5464378668890071E-2</c:v>
                </c:pt>
                <c:pt idx="7">
                  <c:v>9.9034680517841658E-2</c:v>
                </c:pt>
                <c:pt idx="8">
                  <c:v>0.10156135567248431</c:v>
                </c:pt>
              </c:numCache>
            </c:numRef>
          </c:val>
          <c:extLst>
            <c:ext xmlns:c16="http://schemas.microsoft.com/office/drawing/2014/chart" uri="{C3380CC4-5D6E-409C-BE32-E72D297353CC}">
              <c16:uniqueId val="{00000000-2212-452F-B297-32652E3F52E4}"/>
            </c:ext>
          </c:extLst>
        </c:ser>
        <c:dLbls>
          <c:dLblPos val="outEnd"/>
          <c:showLegendKey val="0"/>
          <c:showVal val="1"/>
          <c:showCatName val="0"/>
          <c:showSerName val="0"/>
          <c:showPercent val="0"/>
          <c:showBubbleSize val="0"/>
        </c:dLbls>
        <c:gapWidth val="219"/>
        <c:overlap val="-27"/>
        <c:axId val="681209168"/>
        <c:axId val="681212528"/>
      </c:barChart>
      <c:catAx>
        <c:axId val="68120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12528"/>
        <c:crosses val="autoZero"/>
        <c:auto val="1"/>
        <c:lblAlgn val="ctr"/>
        <c:lblOffset val="100"/>
        <c:noMultiLvlLbl val="0"/>
      </c:catAx>
      <c:valAx>
        <c:axId val="681212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09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Contribution of category for Urban</a:t>
            </a:r>
            <a:endParaRPr lang="en-IN"/>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- 1'!$R$8:$Z$8</c:f>
              <c:strCache>
                <c:ptCount val="9"/>
                <c:pt idx="0">
                  <c:v>Food</c:v>
                </c:pt>
                <c:pt idx="1">
                  <c:v>Tobacco</c:v>
                </c:pt>
                <c:pt idx="2">
                  <c:v>Footwear</c:v>
                </c:pt>
                <c:pt idx="3">
                  <c:v>Housing</c:v>
                </c:pt>
                <c:pt idx="4">
                  <c:v>Household Services</c:v>
                </c:pt>
                <c:pt idx="5">
                  <c:v>Transport</c:v>
                </c:pt>
                <c:pt idx="6">
                  <c:v>Recreation</c:v>
                </c:pt>
                <c:pt idx="7">
                  <c:v>Education</c:v>
                </c:pt>
                <c:pt idx="8">
                  <c:v>Personal Care</c:v>
                </c:pt>
              </c:strCache>
            </c:strRef>
          </c:cat>
          <c:val>
            <c:numRef>
              <c:f>'Answer - 1'!$R$9:$Z$9</c:f>
              <c:numCache>
                <c:formatCode>0%</c:formatCode>
                <c:ptCount val="9"/>
                <c:pt idx="0">
                  <c:v>0.10084349342601998</c:v>
                </c:pt>
                <c:pt idx="1">
                  <c:v>0.11464140193084349</c:v>
                </c:pt>
                <c:pt idx="2">
                  <c:v>9.8940432910279069E-2</c:v>
                </c:pt>
                <c:pt idx="3">
                  <c:v>0.10296392318372526</c:v>
                </c:pt>
                <c:pt idx="4">
                  <c:v>9.8893648139657578E-2</c:v>
                </c:pt>
                <c:pt idx="5">
                  <c:v>9.0051326492200282E-2</c:v>
                </c:pt>
                <c:pt idx="6">
                  <c:v>9.4991798269827218E-2</c:v>
                </c:pt>
                <c:pt idx="7">
                  <c:v>9.8135734855589823E-2</c:v>
                </c:pt>
                <c:pt idx="8">
                  <c:v>0.10419904112813198</c:v>
                </c:pt>
              </c:numCache>
            </c:numRef>
          </c:val>
          <c:extLst>
            <c:ext xmlns:c16="http://schemas.microsoft.com/office/drawing/2014/chart" uri="{C3380CC4-5D6E-409C-BE32-E72D297353CC}">
              <c16:uniqueId val="{00000000-CDE9-4694-81C4-405FB3F88ADC}"/>
            </c:ext>
          </c:extLst>
        </c:ser>
        <c:dLbls>
          <c:dLblPos val="outEnd"/>
          <c:showLegendKey val="0"/>
          <c:showVal val="1"/>
          <c:showCatName val="0"/>
          <c:showSerName val="0"/>
          <c:showPercent val="0"/>
          <c:showBubbleSize val="0"/>
        </c:dLbls>
        <c:gapWidth val="219"/>
        <c:overlap val="-27"/>
        <c:axId val="748287488"/>
        <c:axId val="748287968"/>
      </c:barChart>
      <c:catAx>
        <c:axId val="74828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287968"/>
        <c:crosses val="autoZero"/>
        <c:auto val="1"/>
        <c:lblAlgn val="ctr"/>
        <c:lblOffset val="100"/>
        <c:noMultiLvlLbl val="0"/>
      </c:catAx>
      <c:valAx>
        <c:axId val="748287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287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Y-O-Y</a:t>
            </a:r>
            <a:r>
              <a:rPr lang="en-US" b="1" baseline="0">
                <a:solidFill>
                  <a:schemeClr val="accent1">
                    <a:lumMod val="75000"/>
                  </a:schemeClr>
                </a:solidFill>
              </a:rPr>
              <a:t> Inflation</a:t>
            </a:r>
            <a:endParaRPr lang="en-US" b="1">
              <a:solidFill>
                <a:schemeClr val="accent1">
                  <a:lumMod val="75000"/>
                </a:schemeClr>
              </a:solidFill>
            </a:endParaRPr>
          </a:p>
        </c:rich>
      </c:tx>
      <c:layout>
        <c:manualLayout>
          <c:xMode val="edge"/>
          <c:yMode val="edge"/>
          <c:x val="0.42721504112808462"/>
          <c:y val="2.596198802828192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'Answer - 2'!$B$11</c:f>
              <c:strCache>
                <c:ptCount val="1"/>
                <c:pt idx="0">
                  <c:v>Current year inflation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'Answer - 2'!$A$12:$A$18</c:f>
              <c:numCache>
                <c:formatCode>General</c:formatCode>
                <c:ptCount val="7"/>
                <c:pt idx="0">
                  <c:v>2017</c:v>
                </c:pt>
                <c:pt idx="1">
                  <c:v>2018</c:v>
                </c:pt>
                <c:pt idx="2">
                  <c:v>2019</c:v>
                </c:pt>
                <c:pt idx="3">
                  <c:v>2020</c:v>
                </c:pt>
                <c:pt idx="4">
                  <c:v>2021</c:v>
                </c:pt>
                <c:pt idx="5">
                  <c:v>2022</c:v>
                </c:pt>
                <c:pt idx="6">
                  <c:v>2023</c:v>
                </c:pt>
              </c:numCache>
            </c:numRef>
          </c:cat>
          <c:val>
            <c:numRef>
              <c:f>'Answer - 2'!$B$12:$B$18</c:f>
              <c:numCache>
                <c:formatCode>0.00%</c:formatCode>
                <c:ptCount val="7"/>
                <c:pt idx="1">
                  <c:v>3.9609321310314437E-2</c:v>
                </c:pt>
                <c:pt idx="2">
                  <c:v>3.9358550145593613E-2</c:v>
                </c:pt>
                <c:pt idx="3">
                  <c:v>4.5314536815104903E-2</c:v>
                </c:pt>
                <c:pt idx="4">
                  <c:v>7.1408816859339308E-2</c:v>
                </c:pt>
                <c:pt idx="5">
                  <c:v>6.6029943211151437E-2</c:v>
                </c:pt>
                <c:pt idx="6">
                  <c:v>3.195312121652364E-2</c:v>
                </c:pt>
              </c:numCache>
            </c:numRef>
          </c:val>
          <c:smooth val="0"/>
          <c:extLst>
            <c:ext xmlns:c16="http://schemas.microsoft.com/office/drawing/2014/chart" uri="{C3380CC4-5D6E-409C-BE32-E72D297353CC}">
              <c16:uniqueId val="{00000000-196D-4A19-8659-7CB1B23C33D9}"/>
            </c:ext>
          </c:extLst>
        </c:ser>
        <c:dLbls>
          <c:dLblPos val="t"/>
          <c:showLegendKey val="0"/>
          <c:showVal val="1"/>
          <c:showCatName val="0"/>
          <c:showSerName val="0"/>
          <c:showPercent val="0"/>
          <c:showBubbleSize val="0"/>
        </c:dLbls>
        <c:smooth val="0"/>
        <c:axId val="680837856"/>
        <c:axId val="680838336"/>
      </c:lineChart>
      <c:catAx>
        <c:axId val="68083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838336"/>
        <c:crosses val="autoZero"/>
        <c:auto val="1"/>
        <c:lblAlgn val="ctr"/>
        <c:lblOffset val="100"/>
        <c:noMultiLvlLbl val="0"/>
      </c:catAx>
      <c:valAx>
        <c:axId val="680838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837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Inflation</a:t>
            </a:r>
            <a:r>
              <a:rPr lang="en-IN" b="1" baseline="0"/>
              <a:t> change during last 12 month</a:t>
            </a:r>
            <a:endParaRPr lang="en-IN"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3'!$A$16:$A$28</c:f>
              <c:strCache>
                <c:ptCount val="13"/>
                <c:pt idx="0">
                  <c:v>Month</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strCache>
            </c:strRef>
          </c:cat>
          <c:val>
            <c:numRef>
              <c:f>'Answer 3'!$B$16:$B$28</c:f>
              <c:numCache>
                <c:formatCode>General</c:formatCode>
                <c:ptCount val="13"/>
                <c:pt idx="0">
                  <c:v>0</c:v>
                </c:pt>
                <c:pt idx="2">
                  <c:v>0.19452672531943327</c:v>
                </c:pt>
                <c:pt idx="3">
                  <c:v>0.12796187618585006</c:v>
                </c:pt>
                <c:pt idx="4">
                  <c:v>0.51560021152829516</c:v>
                </c:pt>
                <c:pt idx="5">
                  <c:v>0.71901442413082706</c:v>
                </c:pt>
                <c:pt idx="6">
                  <c:v>-2.1764680276851682E-2</c:v>
                </c:pt>
                <c:pt idx="7">
                  <c:v>-0.58342041100662179</c:v>
                </c:pt>
                <c:pt idx="8">
                  <c:v>0.40728737847069707</c:v>
                </c:pt>
                <c:pt idx="9">
                  <c:v>-0.59318707201117182</c:v>
                </c:pt>
                <c:pt idx="10">
                  <c:v>4.3876968978992913E-3</c:v>
                </c:pt>
                <c:pt idx="11">
                  <c:v>0.456300456300479</c:v>
                </c:pt>
                <c:pt idx="12">
                  <c:v>0.75559049615652807</c:v>
                </c:pt>
              </c:numCache>
            </c:numRef>
          </c:val>
          <c:smooth val="0"/>
          <c:extLst>
            <c:ext xmlns:c16="http://schemas.microsoft.com/office/drawing/2014/chart" uri="{C3380CC4-5D6E-409C-BE32-E72D297353CC}">
              <c16:uniqueId val="{00000000-F50B-42BA-AB6B-A53346B1DB21}"/>
            </c:ext>
          </c:extLst>
        </c:ser>
        <c:dLbls>
          <c:dLblPos val="t"/>
          <c:showLegendKey val="0"/>
          <c:showVal val="1"/>
          <c:showCatName val="0"/>
          <c:showSerName val="0"/>
          <c:showPercent val="0"/>
          <c:showBubbleSize val="0"/>
        </c:dLbls>
        <c:smooth val="0"/>
        <c:axId val="501187296"/>
        <c:axId val="501188256"/>
      </c:lineChart>
      <c:catAx>
        <c:axId val="50118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188256"/>
        <c:crosses val="autoZero"/>
        <c:auto val="1"/>
        <c:lblAlgn val="ctr"/>
        <c:lblOffset val="100"/>
        <c:noMultiLvlLbl val="0"/>
      </c:catAx>
      <c:valAx>
        <c:axId val="50118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18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Index .xlsx]Answer - 4!PivotTable8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Absolute</a:t>
            </a:r>
            <a:r>
              <a:rPr lang="en-IN" baseline="0"/>
              <a:t> Change in inflation due to Covid</a:t>
            </a:r>
            <a:endParaRPr lang="en-IN"/>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- 4'!$B$3:$B$4</c:f>
              <c:strCache>
                <c:ptCount val="1"/>
                <c:pt idx="0">
                  <c:v>After Covid</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'Answer - 4'!$A$5:$A$11</c:f>
              <c:multiLvlStrCache>
                <c:ptCount val="3"/>
                <c:lvl>
                  <c:pt idx="0">
                    <c:v>Average of Food</c:v>
                  </c:pt>
                  <c:pt idx="1">
                    <c:v>Average of Personal Care</c:v>
                  </c:pt>
                  <c:pt idx="2">
                    <c:v>Average of General Index</c:v>
                  </c:pt>
                </c:lvl>
                <c:lvl>
                  <c:pt idx="0">
                    <c:v>Rural+Urban</c:v>
                  </c:pt>
                </c:lvl>
              </c:multiLvlStrCache>
            </c:multiLvlStrRef>
          </c:cat>
          <c:val>
            <c:numRef>
              <c:f>'Answer - 4'!$B$5:$B$11</c:f>
              <c:numCache>
                <c:formatCode>General</c:formatCode>
                <c:ptCount val="3"/>
                <c:pt idx="0">
                  <c:v>164.93372781065088</c:v>
                </c:pt>
                <c:pt idx="1">
                  <c:v>162.65384615384616</c:v>
                </c:pt>
                <c:pt idx="2">
                  <c:v>164.11538461538458</c:v>
                </c:pt>
              </c:numCache>
            </c:numRef>
          </c:val>
          <c:smooth val="0"/>
          <c:extLst>
            <c:ext xmlns:c16="http://schemas.microsoft.com/office/drawing/2014/chart" uri="{C3380CC4-5D6E-409C-BE32-E72D297353CC}">
              <c16:uniqueId val="{00000000-0A79-4936-B8AE-49169B45A75D}"/>
            </c:ext>
          </c:extLst>
        </c:ser>
        <c:ser>
          <c:idx val="1"/>
          <c:order val="1"/>
          <c:tx>
            <c:strRef>
              <c:f>'Answer - 4'!$C$3:$C$4</c:f>
              <c:strCache>
                <c:ptCount val="1"/>
                <c:pt idx="0">
                  <c:v>Before covid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'Answer - 4'!$A$5:$A$11</c:f>
              <c:multiLvlStrCache>
                <c:ptCount val="3"/>
                <c:lvl>
                  <c:pt idx="0">
                    <c:v>Average of Food</c:v>
                  </c:pt>
                  <c:pt idx="1">
                    <c:v>Average of Personal Care</c:v>
                  </c:pt>
                  <c:pt idx="2">
                    <c:v>Average of General Index</c:v>
                  </c:pt>
                </c:lvl>
                <c:lvl>
                  <c:pt idx="0">
                    <c:v>Rural+Urban</c:v>
                  </c:pt>
                </c:lvl>
              </c:multiLvlStrCache>
            </c:multiLvlStrRef>
          </c:cat>
          <c:val>
            <c:numRef>
              <c:f>'Answer - 4'!$C$5:$C$11</c:f>
              <c:numCache>
                <c:formatCode>General</c:formatCode>
                <c:ptCount val="3"/>
                <c:pt idx="0">
                  <c:v>128.98009049773754</c:v>
                </c:pt>
                <c:pt idx="1">
                  <c:v>119.89176470588234</c:v>
                </c:pt>
                <c:pt idx="2">
                  <c:v>128.34</c:v>
                </c:pt>
              </c:numCache>
            </c:numRef>
          </c:val>
          <c:smooth val="0"/>
          <c:extLst>
            <c:ext xmlns:c16="http://schemas.microsoft.com/office/drawing/2014/chart" uri="{C3380CC4-5D6E-409C-BE32-E72D297353CC}">
              <c16:uniqueId val="{00000001-0A79-4936-B8AE-49169B45A75D}"/>
            </c:ext>
          </c:extLst>
        </c:ser>
        <c:dLbls>
          <c:dLblPos val="t"/>
          <c:showLegendKey val="0"/>
          <c:showVal val="1"/>
          <c:showCatName val="0"/>
          <c:showSerName val="0"/>
          <c:showPercent val="0"/>
          <c:showBubbleSize val="0"/>
        </c:dLbls>
        <c:smooth val="0"/>
        <c:axId val="750517552"/>
        <c:axId val="750515152"/>
      </c:lineChart>
      <c:catAx>
        <c:axId val="75051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15152"/>
        <c:crosses val="autoZero"/>
        <c:auto val="1"/>
        <c:lblAlgn val="ctr"/>
        <c:lblOffset val="100"/>
        <c:noMultiLvlLbl val="0"/>
      </c:catAx>
      <c:valAx>
        <c:axId val="75051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1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Corelation</a:t>
            </a:r>
            <a:r>
              <a:rPr lang="en-IN" baseline="0">
                <a:solidFill>
                  <a:schemeClr val="tx1"/>
                </a:solidFill>
              </a:rPr>
              <a:t> between Transpotaion &amp; Crude oil</a:t>
            </a:r>
            <a:endParaRPr lang="en-IN">
              <a:solidFill>
                <a:schemeClr val="tx1"/>
              </a:solidFill>
            </a:endParaRPr>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'Answer - 5'!$J$1</c:f>
              <c:strCache>
                <c:ptCount val="1"/>
                <c:pt idx="0">
                  <c:v>Transport</c:v>
                </c:pt>
              </c:strCache>
            </c:strRef>
          </c:tx>
          <c:spPr>
            <a:ln w="28575" cap="rnd">
              <a:solidFill>
                <a:schemeClr val="accent1"/>
              </a:solidFill>
              <a:round/>
            </a:ln>
            <a:effectLst/>
          </c:spPr>
          <c:marker>
            <c:symbol val="none"/>
          </c:marker>
          <c:cat>
            <c:strRef>
              <c:f>'Answer - 5'!$C$2:$C$27</c:f>
              <c:strCache>
                <c:ptCount val="24"/>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strCache>
            </c:strRef>
          </c:cat>
          <c:val>
            <c:numRef>
              <c:f>'Answer - 5'!$J$2:$J$27</c:f>
              <c:numCache>
                <c:formatCode>General</c:formatCode>
                <c:ptCount val="26"/>
                <c:pt idx="0">
                  <c:v>146.6</c:v>
                </c:pt>
                <c:pt idx="1">
                  <c:v>148.9</c:v>
                </c:pt>
                <c:pt idx="2">
                  <c:v>150.69999999999999</c:v>
                </c:pt>
                <c:pt idx="3">
                  <c:v>153.1</c:v>
                </c:pt>
                <c:pt idx="4">
                  <c:v>154</c:v>
                </c:pt>
                <c:pt idx="5">
                  <c:v>154</c:v>
                </c:pt>
                <c:pt idx="6">
                  <c:v>155.69999999999999</c:v>
                </c:pt>
                <c:pt idx="7">
                  <c:v>154.80000000000001</c:v>
                </c:pt>
                <c:pt idx="8">
                  <c:v>155.69999999999999</c:v>
                </c:pt>
                <c:pt idx="9">
                  <c:v>156.5</c:v>
                </c:pt>
                <c:pt idx="10">
                  <c:v>156.9</c:v>
                </c:pt>
                <c:pt idx="11">
                  <c:v>157.9</c:v>
                </c:pt>
                <c:pt idx="12">
                  <c:v>162.6</c:v>
                </c:pt>
                <c:pt idx="13">
                  <c:v>163</c:v>
                </c:pt>
                <c:pt idx="14">
                  <c:v>161.1</c:v>
                </c:pt>
                <c:pt idx="15">
                  <c:v>161.6</c:v>
                </c:pt>
                <c:pt idx="16">
                  <c:v>161.9</c:v>
                </c:pt>
                <c:pt idx="17">
                  <c:v>162.30000000000001</c:v>
                </c:pt>
                <c:pt idx="18">
                  <c:v>162.9</c:v>
                </c:pt>
                <c:pt idx="19">
                  <c:v>163</c:v>
                </c:pt>
                <c:pt idx="20">
                  <c:v>163.4</c:v>
                </c:pt>
                <c:pt idx="21">
                  <c:v>163.6</c:v>
                </c:pt>
                <c:pt idx="22">
                  <c:v>164.2</c:v>
                </c:pt>
                <c:pt idx="23">
                  <c:v>164.2</c:v>
                </c:pt>
                <c:pt idx="25">
                  <c:v>0.765805765600162</c:v>
                </c:pt>
              </c:numCache>
            </c:numRef>
          </c:val>
          <c:smooth val="0"/>
          <c:extLst>
            <c:ext xmlns:c16="http://schemas.microsoft.com/office/drawing/2014/chart" uri="{C3380CC4-5D6E-409C-BE32-E72D297353CC}">
              <c16:uniqueId val="{00000000-86AB-4E51-8DC6-B8FE2D53AB40}"/>
            </c:ext>
          </c:extLst>
        </c:ser>
        <c:ser>
          <c:idx val="1"/>
          <c:order val="1"/>
          <c:tx>
            <c:strRef>
              <c:f>'Answer - 5'!$Q$1</c:f>
              <c:strCache>
                <c:ptCount val="1"/>
                <c:pt idx="0">
                  <c:v>Imported Crude Oil </c:v>
                </c:pt>
              </c:strCache>
            </c:strRef>
          </c:tx>
          <c:spPr>
            <a:ln w="28575" cap="rnd">
              <a:solidFill>
                <a:schemeClr val="accent2"/>
              </a:solidFill>
              <a:round/>
            </a:ln>
            <a:effectLst/>
          </c:spPr>
          <c:marker>
            <c:symbol val="none"/>
          </c:marker>
          <c:cat>
            <c:strRef>
              <c:f>'Answer - 5'!$C$2:$C$27</c:f>
              <c:strCache>
                <c:ptCount val="24"/>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strCache>
            </c:strRef>
          </c:cat>
          <c:val>
            <c:numRef>
              <c:f>'Answer - 5'!$Q$2:$Q$27</c:f>
              <c:numCache>
                <c:formatCode>General</c:formatCode>
                <c:ptCount val="26"/>
                <c:pt idx="0">
                  <c:v>74207.645156289771</c:v>
                </c:pt>
                <c:pt idx="1">
                  <c:v>70046.397374263441</c:v>
                </c:pt>
                <c:pt idx="2">
                  <c:v>71679.348913787879</c:v>
                </c:pt>
                <c:pt idx="3">
                  <c:v>72860.439470110607</c:v>
                </c:pt>
                <c:pt idx="4">
                  <c:v>80983.015512993996</c:v>
                </c:pt>
                <c:pt idx="5">
                  <c:v>83035.173906576631</c:v>
                </c:pt>
                <c:pt idx="6">
                  <c:v>91471.513995553876</c:v>
                </c:pt>
                <c:pt idx="7">
                  <c:v>95105.451863192153</c:v>
                </c:pt>
                <c:pt idx="8">
                  <c:v>100380.52800837092</c:v>
                </c:pt>
                <c:pt idx="9">
                  <c:v>101828.28887769801</c:v>
                </c:pt>
                <c:pt idx="10">
                  <c:v>102317.68803371425</c:v>
                </c:pt>
                <c:pt idx="11">
                  <c:v>134181.47733497745</c:v>
                </c:pt>
                <c:pt idx="12">
                  <c:v>151257.77739211501</c:v>
                </c:pt>
                <c:pt idx="13">
                  <c:v>137781.52369026651</c:v>
                </c:pt>
                <c:pt idx="14">
                  <c:v>140361.99809642398</c:v>
                </c:pt>
                <c:pt idx="15">
                  <c:v>148619.35499624049</c:v>
                </c:pt>
                <c:pt idx="16">
                  <c:v>120976.19320076992</c:v>
                </c:pt>
                <c:pt idx="17">
                  <c:v>110015.88104199871</c:v>
                </c:pt>
                <c:pt idx="18">
                  <c:v>116548.19734168371</c:v>
                </c:pt>
                <c:pt idx="19">
                  <c:v>118277.27620134089</c:v>
                </c:pt>
                <c:pt idx="20">
                  <c:v>112095.477543425</c:v>
                </c:pt>
                <c:pt idx="21">
                  <c:v>108892.9652336391</c:v>
                </c:pt>
                <c:pt idx="22">
                  <c:v>103743.50619254357</c:v>
                </c:pt>
                <c:pt idx="23">
                  <c:v>107655.66151560735</c:v>
                </c:pt>
              </c:numCache>
            </c:numRef>
          </c:val>
          <c:smooth val="0"/>
          <c:extLst>
            <c:ext xmlns:c16="http://schemas.microsoft.com/office/drawing/2014/chart" uri="{C3380CC4-5D6E-409C-BE32-E72D297353CC}">
              <c16:uniqueId val="{00000001-86AB-4E51-8DC6-B8FE2D53AB40}"/>
            </c:ext>
          </c:extLst>
        </c:ser>
        <c:dLbls>
          <c:showLegendKey val="0"/>
          <c:showVal val="0"/>
          <c:showCatName val="0"/>
          <c:showSerName val="0"/>
          <c:showPercent val="0"/>
          <c:showBubbleSize val="0"/>
        </c:dLbls>
        <c:smooth val="0"/>
        <c:axId val="789212640"/>
        <c:axId val="789219360"/>
      </c:lineChart>
      <c:catAx>
        <c:axId val="78921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219360"/>
        <c:crosses val="autoZero"/>
        <c:auto val="1"/>
        <c:lblAlgn val="ctr"/>
        <c:lblOffset val="100"/>
        <c:noMultiLvlLbl val="0"/>
      </c:catAx>
      <c:valAx>
        <c:axId val="78921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21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276224</xdr:colOff>
      <xdr:row>10</xdr:row>
      <xdr:rowOff>128586</xdr:rowOff>
    </xdr:from>
    <xdr:to>
      <xdr:col>9</xdr:col>
      <xdr:colOff>85725</xdr:colOff>
      <xdr:row>27</xdr:row>
      <xdr:rowOff>57149</xdr:rowOff>
    </xdr:to>
    <xdr:graphicFrame macro="">
      <xdr:nvGraphicFramePr>
        <xdr:cNvPr id="5" name="Chart 4">
          <a:extLst>
            <a:ext uri="{FF2B5EF4-FFF2-40B4-BE49-F238E27FC236}">
              <a16:creationId xmlns:a16="http://schemas.microsoft.com/office/drawing/2014/main" id="{8A7A79B9-68C7-540D-C81A-8D0A080D2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600075</xdr:colOff>
      <xdr:row>10</xdr:row>
      <xdr:rowOff>133351</xdr:rowOff>
    </xdr:from>
    <xdr:to>
      <xdr:col>18</xdr:col>
      <xdr:colOff>628650</xdr:colOff>
      <xdr:row>27</xdr:row>
      <xdr:rowOff>119063</xdr:rowOff>
    </xdr:to>
    <xdr:graphicFrame macro="">
      <xdr:nvGraphicFramePr>
        <xdr:cNvPr id="6" name="Chart 5">
          <a:extLst>
            <a:ext uri="{FF2B5EF4-FFF2-40B4-BE49-F238E27FC236}">
              <a16:creationId xmlns:a16="http://schemas.microsoft.com/office/drawing/2014/main" id="{4774E96A-D1D4-444E-AEDB-5EDAE041E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29</xdr:row>
      <xdr:rowOff>90486</xdr:rowOff>
    </xdr:from>
    <xdr:to>
      <xdr:col>13</xdr:col>
      <xdr:colOff>533400</xdr:colOff>
      <xdr:row>45</xdr:row>
      <xdr:rowOff>133349</xdr:rowOff>
    </xdr:to>
    <xdr:graphicFrame macro="">
      <xdr:nvGraphicFramePr>
        <xdr:cNvPr id="7" name="Chart 6">
          <a:extLst>
            <a:ext uri="{FF2B5EF4-FFF2-40B4-BE49-F238E27FC236}">
              <a16:creationId xmlns:a16="http://schemas.microsoft.com/office/drawing/2014/main" id="{53F5F08B-8182-9667-3B59-AEFCCFBD1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19049</xdr:colOff>
      <xdr:row>0</xdr:row>
      <xdr:rowOff>171450</xdr:rowOff>
    </xdr:from>
    <xdr:to>
      <xdr:col>4</xdr:col>
      <xdr:colOff>8124824</xdr:colOff>
      <xdr:row>18</xdr:row>
      <xdr:rowOff>166687</xdr:rowOff>
    </xdr:to>
    <xdr:graphicFrame macro="">
      <xdr:nvGraphicFramePr>
        <xdr:cNvPr id="2" name="Chart 1">
          <a:extLst>
            <a:ext uri="{FF2B5EF4-FFF2-40B4-BE49-F238E27FC236}">
              <a16:creationId xmlns:a16="http://schemas.microsoft.com/office/drawing/2014/main" id="{ED5D82EF-4DE6-D63D-E065-2C5D5B7D4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28576</xdr:colOff>
      <xdr:row>0</xdr:row>
      <xdr:rowOff>38100</xdr:rowOff>
    </xdr:from>
    <xdr:to>
      <xdr:col>15</xdr:col>
      <xdr:colOff>219076</xdr:colOff>
      <xdr:row>18</xdr:row>
      <xdr:rowOff>180975</xdr:rowOff>
    </xdr:to>
    <xdr:graphicFrame macro="">
      <xdr:nvGraphicFramePr>
        <xdr:cNvPr id="2" name="Chart 1">
          <a:extLst>
            <a:ext uri="{FF2B5EF4-FFF2-40B4-BE49-F238E27FC236}">
              <a16:creationId xmlns:a16="http://schemas.microsoft.com/office/drawing/2014/main" id="{C3BBAC96-C9DC-906D-E76F-0B54D3171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17317</xdr:colOff>
      <xdr:row>2</xdr:row>
      <xdr:rowOff>117765</xdr:rowOff>
    </xdr:from>
    <xdr:to>
      <xdr:col>10</xdr:col>
      <xdr:colOff>1896340</xdr:colOff>
      <xdr:row>15</xdr:row>
      <xdr:rowOff>181843</xdr:rowOff>
    </xdr:to>
    <xdr:graphicFrame macro="">
      <xdr:nvGraphicFramePr>
        <xdr:cNvPr id="4" name="Chart 3">
          <a:extLst>
            <a:ext uri="{FF2B5EF4-FFF2-40B4-BE49-F238E27FC236}">
              <a16:creationId xmlns:a16="http://schemas.microsoft.com/office/drawing/2014/main" id="{AAA97FDD-31D0-FEC7-7642-0201E061D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9525</xdr:colOff>
      <xdr:row>27</xdr:row>
      <xdr:rowOff>80961</xdr:rowOff>
    </xdr:from>
    <xdr:to>
      <xdr:col>15</xdr:col>
      <xdr:colOff>790574</xdr:colOff>
      <xdr:row>44</xdr:row>
      <xdr:rowOff>123825</xdr:rowOff>
    </xdr:to>
    <xdr:graphicFrame macro="">
      <xdr:nvGraphicFramePr>
        <xdr:cNvPr id="3" name="Chart 2">
          <a:extLst>
            <a:ext uri="{FF2B5EF4-FFF2-40B4-BE49-F238E27FC236}">
              <a16:creationId xmlns:a16="http://schemas.microsoft.com/office/drawing/2014/main" id="{74A8297C-7827-A204-654F-0F3CC7E74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ll%20india%20index.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ll%20india%20index.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Narayan" refreshedDate="46215.941804861111" createdVersion="8" refreshedVersion="8" minRefreshableVersion="3" recordCount="372" xr:uid="{3B258A32-C801-4D90-8333-C6FE0109146B}">
  <cacheSource type="worksheet">
    <worksheetSource ref="A1:D373" sheet="Y-oY Inflation" r:id="rId2"/>
  </cacheSource>
  <cacheFields count="4">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Narayan" refreshedDate="46224.972839930553" createdVersion="8" refreshedVersion="8" minRefreshableVersion="3" recordCount="124" xr:uid="{F6C35B4B-1B4D-4EEE-8518-36A9675A58AA}">
  <cacheSource type="worksheet">
    <worksheetSource ref="A1:Q125" sheet="Sheet6" r:id="rId2"/>
  </cacheSource>
  <cacheFields count="17">
    <cacheField name="Sector" numFmtId="0">
      <sharedItems count="1">
        <s v="Rural+Urban"/>
      </sharedItems>
    </cacheField>
    <cacheField name="Year" numFmtId="0">
      <sharedItems containsSemiMixedTypes="0" containsString="0" containsNumber="1" containsInteger="1" minValue="2013" maxValue="2023"/>
    </cacheField>
    <cacheField name="Month" numFmtId="0">
      <sharedItems/>
    </cacheField>
    <cacheField name="Field4" caption="Field4" numFmtId="14">
      <sharedItems containsDate="1" containsMixedTypes="1" minDate="2013-01-01T00:00:00" maxDate="2023-05-02T00:00:00"/>
    </cacheField>
    <cacheField name="Food" numFmtId="0">
      <sharedItems containsSemiMixedTypes="0" containsString="0" containsNumber="1" minValue="105.63846153846156" maxValue="177.45384615384617"/>
    </cacheField>
    <cacheField name="Tobacco" numFmtId="0">
      <sharedItems containsSemiMixedTypes="0" containsString="0" containsNumber="1" minValue="105.1" maxValue="201"/>
    </cacheField>
    <cacheField name="Footwear" numFmtId="0">
      <sharedItems containsSemiMixedTypes="0" containsString="0" containsNumber="1" minValue="106" maxValue="184.4"/>
    </cacheField>
    <cacheField name="Housing" numFmtId="0">
      <sharedItems containsSemiMixedTypes="0" containsString="0" containsNumber="1" minValue="102.9" maxValue="182.8"/>
    </cacheField>
    <cacheField name="Household Services" numFmtId="0">
      <sharedItems containsSemiMixedTypes="0" containsString="0" containsNumber="1" minValue="104.4" maxValue="180.45"/>
    </cacheField>
    <cacheField name="Transport" numFmtId="0">
      <sharedItems containsSemiMixedTypes="0" containsString="0" containsNumber="1" minValue="103.2" maxValue="164.8"/>
    </cacheField>
    <cacheField name="Recreation" numFmtId="0">
      <sharedItems containsSemiMixedTypes="0" containsString="0" containsNumber="1" minValue="103.1" maxValue="171.2"/>
    </cacheField>
    <cacheField name="Education" numFmtId="0">
      <sharedItems containsSemiMixedTypes="0" containsString="0" containsNumber="1" minValue="103.6" maxValue="177.1"/>
    </cacheField>
    <cacheField name="Personal Care" numFmtId="0">
      <sharedItems containsSemiMixedTypes="0" containsString="0" containsNumber="1" minValue="102.3" maxValue="185.2"/>
    </cacheField>
    <cacheField name="Miscellaneous" numFmtId="0">
      <sharedItems containsSemiMixedTypes="0" containsString="0" containsNumber="1" minValue="103.9" maxValue="175.7"/>
    </cacheField>
    <cacheField name="General Index" numFmtId="0">
      <sharedItems containsSemiMixedTypes="0" containsString="0" containsNumber="1" minValue="104.6" maxValue="179.1"/>
    </cacheField>
    <cacheField name="Total sum" numFmtId="0">
      <sharedItems containsSemiMixedTypes="0" containsString="0" containsNumber="1" minValue="104.23384615384616" maxValue="180.01038461538462"/>
    </cacheField>
    <cacheField name="Remark" numFmtId="0">
      <sharedItems count="2">
        <s v="Before covid"/>
        <s v="After Covi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s v="January"/>
    <n v="105.1"/>
  </r>
  <r>
    <s v="Urban"/>
    <x v="0"/>
    <s v="January"/>
    <n v="104"/>
  </r>
  <r>
    <s v="Rural+Urban"/>
    <x v="0"/>
    <s v="January"/>
    <n v="104.6"/>
  </r>
  <r>
    <s v="Rural"/>
    <x v="0"/>
    <s v="February"/>
    <n v="105.8"/>
  </r>
  <r>
    <s v="Urban"/>
    <x v="0"/>
    <s v="February"/>
    <n v="104.7"/>
  </r>
  <r>
    <s v="Rural+Urban"/>
    <x v="0"/>
    <s v="February"/>
    <n v="105.3"/>
  </r>
  <r>
    <s v="Rural"/>
    <x v="0"/>
    <s v="March"/>
    <n v="106"/>
  </r>
  <r>
    <s v="Urban"/>
    <x v="0"/>
    <s v="March"/>
    <n v="105"/>
  </r>
  <r>
    <s v="Rural+Urban"/>
    <x v="0"/>
    <s v="March"/>
    <n v="105.5"/>
  </r>
  <r>
    <s v="Rural"/>
    <x v="0"/>
    <s v="April"/>
    <n v="106.4"/>
  </r>
  <r>
    <s v="Urban"/>
    <x v="0"/>
    <s v="April"/>
    <n v="105.7"/>
  </r>
  <r>
    <s v="Rural+Urban"/>
    <x v="0"/>
    <s v="April"/>
    <n v="106.1"/>
  </r>
  <r>
    <s v="Rural"/>
    <x v="0"/>
    <s v="May"/>
    <n v="107.2"/>
  </r>
  <r>
    <s v="Urban"/>
    <x v="0"/>
    <s v="May"/>
    <n v="106.6"/>
  </r>
  <r>
    <s v="Rural+Urban"/>
    <x v="0"/>
    <s v="May"/>
    <n v="106.9"/>
  </r>
  <r>
    <s v="Rural"/>
    <x v="0"/>
    <s v="June"/>
    <n v="108.9"/>
  </r>
  <r>
    <s v="Urban"/>
    <x v="0"/>
    <s v="June"/>
    <n v="109.7"/>
  </r>
  <r>
    <s v="Rural+Urban"/>
    <x v="0"/>
    <s v="June"/>
    <n v="109.3"/>
  </r>
  <r>
    <s v="Rural"/>
    <x v="0"/>
    <s v="July"/>
    <n v="110.7"/>
  </r>
  <r>
    <s v="Urban"/>
    <x v="0"/>
    <s v="July"/>
    <n v="111.4"/>
  </r>
  <r>
    <s v="Rural+Urban"/>
    <x v="0"/>
    <s v="July"/>
    <n v="111"/>
  </r>
  <r>
    <s v="Rural"/>
    <x v="0"/>
    <s v="August"/>
    <n v="112.1"/>
  </r>
  <r>
    <s v="Urban"/>
    <x v="0"/>
    <s v="August"/>
    <n v="112.7"/>
  </r>
  <r>
    <s v="Rural+Urban"/>
    <x v="0"/>
    <s v="August"/>
    <n v="112.4"/>
  </r>
  <r>
    <s v="Rural"/>
    <x v="0"/>
    <s v="September"/>
    <n v="114.2"/>
  </r>
  <r>
    <s v="Urban"/>
    <x v="0"/>
    <s v="September"/>
    <n v="113.2"/>
  </r>
  <r>
    <s v="Rural+Urban"/>
    <x v="0"/>
    <s v="September"/>
    <n v="113.7"/>
  </r>
  <r>
    <s v="Rural"/>
    <x v="0"/>
    <s v="October"/>
    <n v="115.5"/>
  </r>
  <r>
    <s v="Urban"/>
    <x v="0"/>
    <s v="October"/>
    <n v="114"/>
  </r>
  <r>
    <s v="Rural+Urban"/>
    <x v="0"/>
    <s v="October"/>
    <n v="114.8"/>
  </r>
  <r>
    <s v="Rural"/>
    <x v="0"/>
    <s v="November "/>
    <n v="117.4"/>
  </r>
  <r>
    <s v="Urban"/>
    <x v="0"/>
    <s v="November"/>
    <n v="115"/>
  </r>
  <r>
    <s v="Rural+Urban"/>
    <x v="0"/>
    <s v="November"/>
    <n v="116.3"/>
  </r>
  <r>
    <s v="Rural"/>
    <x v="0"/>
    <s v="December"/>
    <n v="115.5"/>
  </r>
  <r>
    <s v="Urban"/>
    <x v="0"/>
    <s v="December"/>
    <n v="113.3"/>
  </r>
  <r>
    <s v="Rural+Urban"/>
    <x v="0"/>
    <s v="December"/>
    <n v="114.5"/>
  </r>
  <r>
    <s v="Rural"/>
    <x v="1"/>
    <s v="January"/>
    <n v="114.2"/>
  </r>
  <r>
    <s v="Urban"/>
    <x v="1"/>
    <s v="January"/>
    <n v="112.9"/>
  </r>
  <r>
    <s v="Rural+Urban"/>
    <x v="1"/>
    <s v="January"/>
    <n v="113.6"/>
  </r>
  <r>
    <s v="Rural"/>
    <x v="1"/>
    <s v="February"/>
    <n v="114"/>
  </r>
  <r>
    <s v="Urban"/>
    <x v="1"/>
    <s v="February"/>
    <n v="113.1"/>
  </r>
  <r>
    <s v="Rural+Urban"/>
    <x v="1"/>
    <s v="February"/>
    <n v="113.6"/>
  </r>
  <r>
    <s v="Rural"/>
    <x v="1"/>
    <s v="March"/>
    <n v="114.6"/>
  </r>
  <r>
    <s v="Urban"/>
    <x v="1"/>
    <s v="March"/>
    <n v="113.7"/>
  </r>
  <r>
    <s v="Rural+Urban"/>
    <x v="1"/>
    <s v="Marcrh"/>
    <n v="114.2"/>
  </r>
  <r>
    <s v="Rural"/>
    <x v="1"/>
    <s v="April"/>
    <n v="115.4"/>
  </r>
  <r>
    <s v="Urban"/>
    <x v="1"/>
    <s v="April"/>
    <n v="114.7"/>
  </r>
  <r>
    <s v="Rural+Urban"/>
    <x v="1"/>
    <s v="April"/>
    <n v="115.1"/>
  </r>
  <r>
    <s v="Rural"/>
    <x v="1"/>
    <s v="May"/>
    <n v="116"/>
  </r>
  <r>
    <s v="Urban"/>
    <x v="1"/>
    <s v="May"/>
    <n v="115.6"/>
  </r>
  <r>
    <s v="Rural+Urban"/>
    <x v="1"/>
    <s v="May"/>
    <n v="115.8"/>
  </r>
  <r>
    <s v="Rural"/>
    <x v="1"/>
    <s v="June"/>
    <n v="117"/>
  </r>
  <r>
    <s v="Urban"/>
    <x v="1"/>
    <s v="June"/>
    <n v="116.4"/>
  </r>
  <r>
    <s v="Rural+Urban"/>
    <x v="1"/>
    <s v="June"/>
    <n v="116.7"/>
  </r>
  <r>
    <s v="Rural"/>
    <x v="1"/>
    <s v="July"/>
    <n v="119.5"/>
  </r>
  <r>
    <s v="Urban"/>
    <x v="1"/>
    <s v="July"/>
    <n v="118.9"/>
  </r>
  <r>
    <s v="Rural+Urban"/>
    <x v="1"/>
    <s v="July"/>
    <n v="119.2"/>
  </r>
  <r>
    <s v="Rural"/>
    <x v="1"/>
    <s v="August"/>
    <n v="120.7"/>
  </r>
  <r>
    <s v="Urban"/>
    <x v="1"/>
    <s v="August"/>
    <n v="119.9"/>
  </r>
  <r>
    <s v="Rural+Urban"/>
    <x v="1"/>
    <s v="August"/>
    <n v="120.3"/>
  </r>
  <r>
    <s v="Rural"/>
    <x v="1"/>
    <s v="September"/>
    <n v="120.9"/>
  </r>
  <r>
    <s v="Urban"/>
    <x v="1"/>
    <s v="September"/>
    <n v="119.2"/>
  </r>
  <r>
    <s v="Rural+Urban"/>
    <x v="1"/>
    <s v="September"/>
    <n v="120.1"/>
  </r>
  <r>
    <s v="Rural"/>
    <x v="1"/>
    <s v="October"/>
    <n v="121"/>
  </r>
  <r>
    <s v="Urban"/>
    <x v="1"/>
    <s v="October"/>
    <n v="119.1"/>
  </r>
  <r>
    <s v="Rural+Urban"/>
    <x v="1"/>
    <s v="October"/>
    <n v="120.1"/>
  </r>
  <r>
    <s v="Rural"/>
    <x v="1"/>
    <s v="November"/>
    <n v="121.1"/>
  </r>
  <r>
    <s v="Urban"/>
    <x v="1"/>
    <s v="November"/>
    <n v="119"/>
  </r>
  <r>
    <s v="Rural+Urban"/>
    <x v="1"/>
    <s v="November"/>
    <n v="120.1"/>
  </r>
  <r>
    <s v="Rural"/>
    <x v="1"/>
    <s v="December"/>
    <n v="120.3"/>
  </r>
  <r>
    <s v="Urban"/>
    <x v="1"/>
    <s v="December"/>
    <n v="118.4"/>
  </r>
  <r>
    <s v="Rural+Urban"/>
    <x v="1"/>
    <s v="December"/>
    <n v="119.4"/>
  </r>
  <r>
    <s v="Rural"/>
    <x v="2"/>
    <s v="January"/>
    <n v="120.3"/>
  </r>
  <r>
    <s v="Urban"/>
    <x v="2"/>
    <s v="January"/>
    <n v="118.5"/>
  </r>
  <r>
    <s v="Rural+Urban"/>
    <x v="2"/>
    <s v="January"/>
    <n v="119.5"/>
  </r>
  <r>
    <s v="Rural"/>
    <x v="2"/>
    <s v="February"/>
    <n v="120.6"/>
  </r>
  <r>
    <s v="Urban"/>
    <x v="2"/>
    <s v="February"/>
    <n v="118.7"/>
  </r>
  <r>
    <s v="Rural+Urban"/>
    <x v="2"/>
    <s v="February"/>
    <n v="119.7"/>
  </r>
  <r>
    <s v="Rural"/>
    <x v="2"/>
    <s v="March"/>
    <n v="121.1"/>
  </r>
  <r>
    <s v="Urban"/>
    <x v="2"/>
    <s v="March"/>
    <n v="119.1"/>
  </r>
  <r>
    <s v="Rural+Urban"/>
    <x v="2"/>
    <s v="March"/>
    <n v="120.2"/>
  </r>
  <r>
    <s v="Rural"/>
    <x v="2"/>
    <s v="April"/>
    <n v="121.5"/>
  </r>
  <r>
    <s v="Urban"/>
    <x v="2"/>
    <s v="April"/>
    <n v="119.7"/>
  </r>
  <r>
    <s v="Rural+Urban"/>
    <x v="2"/>
    <s v="April"/>
    <n v="120.7"/>
  </r>
  <r>
    <s v="Rural"/>
    <x v="2"/>
    <s v="May"/>
    <n v="122.4"/>
  </r>
  <r>
    <s v="Urban"/>
    <x v="2"/>
    <s v="May"/>
    <n v="120.7"/>
  </r>
  <r>
    <s v="Rural+Urban"/>
    <x v="2"/>
    <s v="May"/>
    <n v="121.6"/>
  </r>
  <r>
    <s v="Rural"/>
    <x v="2"/>
    <s v="June"/>
    <n v="124.1"/>
  </r>
  <r>
    <s v="Urban"/>
    <x v="2"/>
    <s v="June"/>
    <n v="121.7"/>
  </r>
  <r>
    <s v="Rural+Urban"/>
    <x v="2"/>
    <s v="June"/>
    <n v="123"/>
  </r>
  <r>
    <s v="Rural"/>
    <x v="2"/>
    <s v="July"/>
    <n v="124.7"/>
  </r>
  <r>
    <s v="Urban"/>
    <x v="2"/>
    <s v="July"/>
    <n v="122.4"/>
  </r>
  <r>
    <s v="Rural+Urban"/>
    <x v="2"/>
    <s v="July"/>
    <n v="123.6"/>
  </r>
  <r>
    <s v="Rural"/>
    <x v="2"/>
    <s v="August"/>
    <n v="126.1"/>
  </r>
  <r>
    <s v="Urban"/>
    <x v="2"/>
    <s v="August"/>
    <n v="123.2"/>
  </r>
  <r>
    <s v="Rural+Urban"/>
    <x v="2"/>
    <s v="August"/>
    <n v="124.8"/>
  </r>
  <r>
    <s v="Rural"/>
    <x v="2"/>
    <s v="September"/>
    <n v="127"/>
  </r>
  <r>
    <s v="Urban"/>
    <x v="2"/>
    <s v="September"/>
    <n v="123.5"/>
  </r>
  <r>
    <s v="Rural+Urban"/>
    <x v="2"/>
    <s v="September"/>
    <n v="125.4"/>
  </r>
  <r>
    <s v="Rural"/>
    <x v="2"/>
    <s v="October"/>
    <n v="127.7"/>
  </r>
  <r>
    <s v="Urban"/>
    <x v="2"/>
    <s v="October"/>
    <n v="124.2"/>
  </r>
  <r>
    <s v="Rural+Urban"/>
    <x v="2"/>
    <s v="October"/>
    <n v="126.1"/>
  </r>
  <r>
    <s v="Rural"/>
    <x v="2"/>
    <s v="November"/>
    <n v="128.30000000000001"/>
  </r>
  <r>
    <s v="Urban"/>
    <x v="2"/>
    <s v="November"/>
    <n v="124.6"/>
  </r>
  <r>
    <s v="Rural+Urban"/>
    <x v="2"/>
    <s v="November"/>
    <n v="126.6"/>
  </r>
  <r>
    <s v="Rural"/>
    <x v="2"/>
    <s v="December"/>
    <n v="127.9"/>
  </r>
  <r>
    <s v="Urban"/>
    <x v="2"/>
    <s v="December"/>
    <n v="124"/>
  </r>
  <r>
    <s v="Rural+Urban"/>
    <x v="2"/>
    <s v="December"/>
    <n v="126.1"/>
  </r>
  <r>
    <s v="Rural"/>
    <x v="3"/>
    <s v="January"/>
    <n v="128.1"/>
  </r>
  <r>
    <s v="Urban"/>
    <x v="3"/>
    <s v="January"/>
    <n v="124.2"/>
  </r>
  <r>
    <s v="Rural+Urban"/>
    <x v="3"/>
    <s v="January"/>
    <n v="126.3"/>
  </r>
  <r>
    <s v="Rural"/>
    <x v="3"/>
    <s v="February"/>
    <n v="127.9"/>
  </r>
  <r>
    <s v="Urban"/>
    <x v="3"/>
    <s v="February"/>
    <n v="123.8"/>
  </r>
  <r>
    <s v="Rural+Urban"/>
    <x v="3"/>
    <s v="February"/>
    <n v="126"/>
  </r>
  <r>
    <s v="Rural"/>
    <x v="3"/>
    <s v="March"/>
    <n v="128"/>
  </r>
  <r>
    <s v="Urban"/>
    <x v="3"/>
    <s v="March"/>
    <n v="123.8"/>
  </r>
  <r>
    <s v="Rural+Urban"/>
    <x v="3"/>
    <s v="March"/>
    <n v="126"/>
  </r>
  <r>
    <s v="Rural"/>
    <x v="3"/>
    <s v="April"/>
    <n v="129"/>
  </r>
  <r>
    <s v="Urban"/>
    <x v="3"/>
    <s v="April"/>
    <n v="125.3"/>
  </r>
  <r>
    <s v="Rural+Urban"/>
    <x v="3"/>
    <s v="April"/>
    <n v="127.3"/>
  </r>
  <r>
    <s v="Rural"/>
    <x v="3"/>
    <s v="May"/>
    <n v="130.30000000000001"/>
  </r>
  <r>
    <s v="Urban"/>
    <x v="3"/>
    <s v="May"/>
    <n v="126.6"/>
  </r>
  <r>
    <s v="Rural+Urban"/>
    <x v="3"/>
    <s v="May"/>
    <n v="128.6"/>
  </r>
  <r>
    <s v="Rural"/>
    <x v="3"/>
    <s v="June"/>
    <n v="131.9"/>
  </r>
  <r>
    <s v="Urban"/>
    <x v="3"/>
    <s v="June"/>
    <n v="128.1"/>
  </r>
  <r>
    <s v="Rural+Urban"/>
    <x v="3"/>
    <s v="June"/>
    <n v="130.1"/>
  </r>
  <r>
    <s v="Rural"/>
    <x v="3"/>
    <s v="July"/>
    <n v="133"/>
  </r>
  <r>
    <s v="Urban"/>
    <x v="3"/>
    <s v="July"/>
    <n v="129"/>
  </r>
  <r>
    <s v="Rural+Urban"/>
    <x v="3"/>
    <s v="July"/>
    <n v="131.1"/>
  </r>
  <r>
    <s v="Rural"/>
    <x v="3"/>
    <s v="August"/>
    <n v="133.5"/>
  </r>
  <r>
    <s v="Urban"/>
    <x v="3"/>
    <s v="August"/>
    <n v="128.4"/>
  </r>
  <r>
    <s v="Rural+Urban"/>
    <x v="3"/>
    <s v="August"/>
    <n v="131.1"/>
  </r>
  <r>
    <s v="Rural"/>
    <x v="3"/>
    <s v="September"/>
    <n v="133.4"/>
  </r>
  <r>
    <s v="Urban"/>
    <x v="3"/>
    <s v="September"/>
    <n v="128"/>
  </r>
  <r>
    <s v="Rural+Urban"/>
    <x v="3"/>
    <s v="September"/>
    <n v="130.9"/>
  </r>
  <r>
    <s v="Rural"/>
    <x v="3"/>
    <s v="October"/>
    <n v="133.80000000000001"/>
  </r>
  <r>
    <s v="Urban"/>
    <x v="3"/>
    <s v="October"/>
    <n v="128.6"/>
  </r>
  <r>
    <s v="Rural+Urban"/>
    <x v="3"/>
    <s v="October"/>
    <n v="131.4"/>
  </r>
  <r>
    <s v="Rural"/>
    <x v="3"/>
    <s v="November"/>
    <n v="133.6"/>
  </r>
  <r>
    <s v="Urban"/>
    <x v="3"/>
    <s v="November"/>
    <n v="128.5"/>
  </r>
  <r>
    <s v="Rural+Urban"/>
    <x v="3"/>
    <s v="November"/>
    <n v="131.19999999999999"/>
  </r>
  <r>
    <s v="Rural"/>
    <x v="3"/>
    <s v="December"/>
    <n v="132.80000000000001"/>
  </r>
  <r>
    <s v="Urban"/>
    <x v="3"/>
    <s v="December"/>
    <n v="127.6"/>
  </r>
  <r>
    <s v="Rural+Urban"/>
    <x v="3"/>
    <s v="December"/>
    <n v="130.4"/>
  </r>
  <r>
    <s v="Rural"/>
    <x v="4"/>
    <s v="January"/>
    <n v="132.4"/>
  </r>
  <r>
    <s v="Urban"/>
    <x v="4"/>
    <s v="January"/>
    <n v="127.8"/>
  </r>
  <r>
    <s v="Rural+Urban"/>
    <x v="4"/>
    <s v="January"/>
    <n v="130.30000000000001"/>
  </r>
  <r>
    <s v="Rural"/>
    <x v="4"/>
    <s v="February"/>
    <n v="132.6"/>
  </r>
  <r>
    <s v="Urban"/>
    <x v="4"/>
    <s v="February"/>
    <n v="128.19999999999999"/>
  </r>
  <r>
    <s v="Rural+Urban"/>
    <x v="4"/>
    <s v="February"/>
    <n v="130.6"/>
  </r>
  <r>
    <s v="Rural"/>
    <x v="4"/>
    <s v="March"/>
    <n v="132.80000000000001"/>
  </r>
  <r>
    <s v="Urban"/>
    <x v="4"/>
    <s v="March"/>
    <n v="128.69999999999999"/>
  </r>
  <r>
    <s v="Rural+Urban"/>
    <x v="4"/>
    <s v="March"/>
    <n v="130.9"/>
  </r>
  <r>
    <s v="Rural"/>
    <x v="4"/>
    <s v="April"/>
    <n v="132.9"/>
  </r>
  <r>
    <s v="Urban"/>
    <x v="4"/>
    <s v="April"/>
    <n v="129.1"/>
  </r>
  <r>
    <s v="Rural+Urban"/>
    <x v="4"/>
    <s v="April"/>
    <n v="131.1"/>
  </r>
  <r>
    <s v="Rural"/>
    <x v="4"/>
    <s v="May"/>
    <n v="133.30000000000001"/>
  </r>
  <r>
    <s v="Urban"/>
    <x v="4"/>
    <s v="May"/>
    <n v="129.30000000000001"/>
  </r>
  <r>
    <s v="Rural+Urban"/>
    <x v="4"/>
    <s v="May"/>
    <n v="131.4"/>
  </r>
  <r>
    <s v="Rural"/>
    <x v="4"/>
    <s v="June"/>
    <n v="133.9"/>
  </r>
  <r>
    <s v="Urban"/>
    <x v="4"/>
    <s v="June"/>
    <n v="129.9"/>
  </r>
  <r>
    <s v="Rural+Urban"/>
    <x v="4"/>
    <s v="June"/>
    <n v="132"/>
  </r>
  <r>
    <s v="Rural"/>
    <x v="4"/>
    <s v="July"/>
    <n v="136.19999999999999"/>
  </r>
  <r>
    <s v="Urban"/>
    <x v="4"/>
    <s v="July"/>
    <n v="131.80000000000001"/>
  </r>
  <r>
    <s v="Rural+Urban"/>
    <x v="4"/>
    <s v="July"/>
    <n v="134.19999999999999"/>
  </r>
  <r>
    <s v="Rural"/>
    <x v="4"/>
    <s v="August"/>
    <n v="137.80000000000001"/>
  </r>
  <r>
    <s v="Urban"/>
    <x v="4"/>
    <s v="August"/>
    <n v="132.69999999999999"/>
  </r>
  <r>
    <s v="Rural+Urban"/>
    <x v="4"/>
    <s v="August"/>
    <n v="135.4"/>
  </r>
  <r>
    <s v="Rural"/>
    <x v="4"/>
    <s v="September"/>
    <n v="137.6"/>
  </r>
  <r>
    <s v="Urban"/>
    <x v="4"/>
    <s v="September"/>
    <n v="132.4"/>
  </r>
  <r>
    <s v="Rural+Urban"/>
    <x v="4"/>
    <s v="September"/>
    <n v="135.19999999999999"/>
  </r>
  <r>
    <s v="Rural"/>
    <x v="4"/>
    <s v="October"/>
    <n v="138.30000000000001"/>
  </r>
  <r>
    <s v="Urban"/>
    <x v="4"/>
    <s v="October"/>
    <n v="133.5"/>
  </r>
  <r>
    <s v="Rural+Urban"/>
    <x v="4"/>
    <s v="October"/>
    <n v="136.1"/>
  </r>
  <r>
    <s v="Rural"/>
    <x v="4"/>
    <s v="November"/>
    <n v="140"/>
  </r>
  <r>
    <s v="Urban"/>
    <x v="4"/>
    <s v="November"/>
    <n v="134.80000000000001"/>
  </r>
  <r>
    <s v="Rural+Urban"/>
    <x v="4"/>
    <s v="November"/>
    <n v="137.6"/>
  </r>
  <r>
    <s v="Rural"/>
    <x v="4"/>
    <s v="December"/>
    <n v="139.80000000000001"/>
  </r>
  <r>
    <s v="Urban"/>
    <x v="4"/>
    <s v="December"/>
    <n v="134.1"/>
  </r>
  <r>
    <s v="Rural+Urban"/>
    <x v="4"/>
    <s v="December"/>
    <n v="137.19999999999999"/>
  </r>
  <r>
    <s v="Rural"/>
    <x v="5"/>
    <s v="January"/>
    <n v="139.30000000000001"/>
  </r>
  <r>
    <s v="Urban"/>
    <x v="5"/>
    <s v="January"/>
    <n v="134.1"/>
  </r>
  <r>
    <s v="Rural+Urban"/>
    <x v="5"/>
    <s v="January"/>
    <n v="136.9"/>
  </r>
  <r>
    <s v="Rural"/>
    <x v="5"/>
    <s v="February"/>
    <n v="138.5"/>
  </r>
  <r>
    <s v="Urban"/>
    <x v="5"/>
    <s v="February"/>
    <n v="134"/>
  </r>
  <r>
    <s v="Rural+Urban"/>
    <x v="5"/>
    <s v="February"/>
    <n v="136.4"/>
  </r>
  <r>
    <s v="Rural"/>
    <x v="5"/>
    <s v="March"/>
    <n v="138.69999999999999"/>
  </r>
  <r>
    <s v="Urban"/>
    <x v="5"/>
    <s v="March"/>
    <n v="134"/>
  </r>
  <r>
    <s v="Rural+Urban"/>
    <x v="5"/>
    <s v="March"/>
    <n v="136.5"/>
  </r>
  <r>
    <s v="Rural"/>
    <x v="5"/>
    <s v="April"/>
    <n v="139.1"/>
  </r>
  <r>
    <s v="Urban"/>
    <x v="5"/>
    <s v="April"/>
    <n v="134.80000000000001"/>
  </r>
  <r>
    <s v="Rural+Urban"/>
    <x v="5"/>
    <s v="April"/>
    <n v="137.1"/>
  </r>
  <r>
    <s v="Rural"/>
    <x v="5"/>
    <s v="May"/>
    <n v="139.80000000000001"/>
  </r>
  <r>
    <s v="Urban"/>
    <x v="5"/>
    <s v="May"/>
    <n v="135.4"/>
  </r>
  <r>
    <s v="Rural+Urban"/>
    <x v="5"/>
    <s v="May"/>
    <n v="137.80000000000001"/>
  </r>
  <r>
    <s v="Rural"/>
    <x v="5"/>
    <s v="June"/>
    <n v="140.5"/>
  </r>
  <r>
    <s v="Urban"/>
    <x v="5"/>
    <s v="June"/>
    <n v="136.19999999999999"/>
  </r>
  <r>
    <s v="Rural+Urban"/>
    <x v="5"/>
    <s v="June"/>
    <n v="138.5"/>
  </r>
  <r>
    <s v="Rural"/>
    <x v="5"/>
    <s v="July"/>
    <n v="141.80000000000001"/>
  </r>
  <r>
    <s v="Urban"/>
    <x v="5"/>
    <s v="July"/>
    <n v="137.5"/>
  </r>
  <r>
    <s v="Rural+Urban"/>
    <x v="5"/>
    <s v="July"/>
    <n v="139.80000000000001"/>
  </r>
  <r>
    <s v="Rural"/>
    <x v="5"/>
    <s v="August"/>
    <n v="142.5"/>
  </r>
  <r>
    <s v="Urban"/>
    <x v="5"/>
    <s v="August"/>
    <n v="138"/>
  </r>
  <r>
    <s v="Rural+Urban"/>
    <x v="5"/>
    <s v="August"/>
    <n v="140.4"/>
  </r>
  <r>
    <s v="Rural"/>
    <x v="5"/>
    <s v="September"/>
    <n v="142.1"/>
  </r>
  <r>
    <s v="Urban"/>
    <x v="5"/>
    <s v="September"/>
    <n v="138.1"/>
  </r>
  <r>
    <s v="Rural+Urban"/>
    <x v="5"/>
    <s v="September"/>
    <n v="140.19999999999999"/>
  </r>
  <r>
    <s v="Rural"/>
    <x v="5"/>
    <s v="October"/>
    <n v="142.19999999999999"/>
  </r>
  <r>
    <s v="Urban"/>
    <x v="5"/>
    <s v="October"/>
    <n v="138.9"/>
  </r>
  <r>
    <s v="Rural+Urban"/>
    <x v="5"/>
    <s v="October"/>
    <n v="140.80000000000001"/>
  </r>
  <r>
    <s v="Rural"/>
    <x v="5"/>
    <s v="November"/>
    <n v="142.4"/>
  </r>
  <r>
    <s v="Urban"/>
    <x v="5"/>
    <s v="November"/>
    <n v="139"/>
  </r>
  <r>
    <s v="Rural+Urban"/>
    <x v="5"/>
    <s v="November"/>
    <n v="140.80000000000001"/>
  </r>
  <r>
    <s v="Rural"/>
    <x v="5"/>
    <s v="December"/>
    <n v="141.9"/>
  </r>
  <r>
    <s v="Urban"/>
    <x v="5"/>
    <s v="December"/>
    <n v="138"/>
  </r>
  <r>
    <s v="Rural+Urban"/>
    <x v="5"/>
    <s v="December"/>
    <n v="140.1"/>
  </r>
  <r>
    <s v="Rural"/>
    <x v="6"/>
    <s v="January"/>
    <n v="141"/>
  </r>
  <r>
    <s v="Urban"/>
    <x v="6"/>
    <s v="January"/>
    <n v="138"/>
  </r>
  <r>
    <s v="Rural+Urban"/>
    <x v="6"/>
    <s v="January"/>
    <n v="139.6"/>
  </r>
  <r>
    <s v="Rural"/>
    <x v="6"/>
    <s v="February"/>
    <n v="141"/>
  </r>
  <r>
    <s v="Urban"/>
    <x v="6"/>
    <s v="February"/>
    <n v="138.6"/>
  </r>
  <r>
    <s v="Rural+Urban"/>
    <x v="6"/>
    <s v="February"/>
    <n v="139.9"/>
  </r>
  <r>
    <s v="Rural"/>
    <x v="6"/>
    <s v="March"/>
    <n v="141.19999999999999"/>
  </r>
  <r>
    <s v="Urban"/>
    <x v="6"/>
    <s v="March"/>
    <n v="139.5"/>
  </r>
  <r>
    <s v="Rural+Urban"/>
    <x v="6"/>
    <s v="March"/>
    <n v="140.4"/>
  </r>
  <r>
    <s v="Rural"/>
    <x v="6"/>
    <s v="May"/>
    <n v="142.4"/>
  </r>
  <r>
    <s v="Urban"/>
    <x v="6"/>
    <s v="May"/>
    <n v="141.5"/>
  </r>
  <r>
    <s v="Rural+Urban"/>
    <x v="6"/>
    <s v="May"/>
    <n v="142"/>
  </r>
  <r>
    <s v="Rural"/>
    <x v="6"/>
    <s v="June"/>
    <n v="143.6"/>
  </r>
  <r>
    <s v="Urban"/>
    <x v="6"/>
    <s v="June"/>
    <n v="142.1"/>
  </r>
  <r>
    <s v="Rural+Urban"/>
    <x v="6"/>
    <s v="June"/>
    <n v="142.9"/>
  </r>
  <r>
    <s v="Rural"/>
    <x v="6"/>
    <s v="July"/>
    <n v="144.9"/>
  </r>
  <r>
    <s v="Urban"/>
    <x v="6"/>
    <s v="July"/>
    <n v="143.30000000000001"/>
  </r>
  <r>
    <s v="Rural+Urban"/>
    <x v="6"/>
    <s v="July"/>
    <n v="144.19999999999999"/>
  </r>
  <r>
    <s v="Rural"/>
    <x v="6"/>
    <s v="August"/>
    <n v="145.69999999999999"/>
  </r>
  <r>
    <s v="Urban"/>
    <x v="6"/>
    <s v="August"/>
    <n v="144.19999999999999"/>
  </r>
  <r>
    <s v="Rural+Urban"/>
    <x v="6"/>
    <s v="August"/>
    <n v="145"/>
  </r>
  <r>
    <s v="Rural"/>
    <x v="6"/>
    <s v="September"/>
    <n v="146.69999999999999"/>
  </r>
  <r>
    <s v="Urban"/>
    <x v="6"/>
    <s v="September"/>
    <n v="144.69999999999999"/>
  </r>
  <r>
    <s v="Rural+Urban"/>
    <x v="6"/>
    <s v="September"/>
    <n v="145.80000000000001"/>
  </r>
  <r>
    <s v="Rural"/>
    <x v="6"/>
    <s v="October"/>
    <n v="148.30000000000001"/>
  </r>
  <r>
    <s v="Urban"/>
    <x v="6"/>
    <s v="October"/>
    <n v="146"/>
  </r>
  <r>
    <s v="Rural+Urban"/>
    <x v="6"/>
    <s v="October"/>
    <n v="147.19999999999999"/>
  </r>
  <r>
    <s v="Rural"/>
    <x v="6"/>
    <s v="November"/>
    <n v="149.9"/>
  </r>
  <r>
    <s v="Urban"/>
    <x v="6"/>
    <s v="November"/>
    <n v="147"/>
  </r>
  <r>
    <s v="Rural+Urban"/>
    <x v="6"/>
    <s v="November"/>
    <n v="148.6"/>
  </r>
  <r>
    <s v="Rural"/>
    <x v="6"/>
    <s v="December"/>
    <n v="152.30000000000001"/>
  </r>
  <r>
    <s v="Urban"/>
    <x v="6"/>
    <s v="December"/>
    <n v="148.30000000000001"/>
  </r>
  <r>
    <s v="Rural+Urban"/>
    <x v="6"/>
    <s v="December"/>
    <n v="150.4"/>
  </r>
  <r>
    <s v="Rural"/>
    <x v="7"/>
    <s v="January"/>
    <n v="151.9"/>
  </r>
  <r>
    <s v="Urban"/>
    <x v="7"/>
    <s v="January"/>
    <n v="148.19999999999999"/>
  </r>
  <r>
    <s v="Rural+Urban"/>
    <x v="7"/>
    <s v="January"/>
    <n v="150.19999999999999"/>
  </r>
  <r>
    <s v="Rural"/>
    <x v="7"/>
    <s v="February"/>
    <n v="150.4"/>
  </r>
  <r>
    <s v="Urban"/>
    <x v="7"/>
    <s v="February"/>
    <n v="147.69999999999999"/>
  </r>
  <r>
    <s v="Rural+Urban"/>
    <x v="7"/>
    <s v="February"/>
    <n v="149.1"/>
  </r>
  <r>
    <s v="Rural"/>
    <x v="7"/>
    <s v="March"/>
    <n v="149.80000000000001"/>
  </r>
  <r>
    <s v="Urban"/>
    <x v="7"/>
    <s v="March"/>
    <n v="147.30000000000001"/>
  </r>
  <r>
    <s v="Rural+Urban"/>
    <x v="7"/>
    <s v="March"/>
    <n v="148.6"/>
  </r>
  <r>
    <s v="Rural"/>
    <x v="7"/>
    <s v="April"/>
    <n v="137.30000000000001"/>
  </r>
  <r>
    <s v="Urban"/>
    <x v="7"/>
    <s v="April"/>
    <n v="137.30000000000001"/>
  </r>
  <r>
    <s v="Rural+Urban"/>
    <x v="7"/>
    <s v="April"/>
    <n v="137.30000000000001"/>
  </r>
  <r>
    <s v="Rural"/>
    <x v="7"/>
    <s v="May"/>
    <n v="137.30000000000001"/>
  </r>
  <r>
    <s v="Urban"/>
    <x v="7"/>
    <s v="May"/>
    <n v="137.30000000000001"/>
  </r>
  <r>
    <s v="Rural+Urban"/>
    <x v="7"/>
    <s v="May"/>
    <n v="137.30000000000001"/>
  </r>
  <r>
    <s v="Rural"/>
    <x v="7"/>
    <s v="June"/>
    <n v="152.69999999999999"/>
  </r>
  <r>
    <s v="Urban"/>
    <x v="7"/>
    <s v="June"/>
    <n v="150.80000000000001"/>
  </r>
  <r>
    <s v="Rural+Urban"/>
    <x v="7"/>
    <s v="June"/>
    <n v="151.80000000000001"/>
  </r>
  <r>
    <s v="Rural"/>
    <x v="7"/>
    <s v="July"/>
    <n v="152.69999999999999"/>
  </r>
  <r>
    <s v="Urban"/>
    <x v="7"/>
    <s v="July"/>
    <n v="150.80000000000001"/>
  </r>
  <r>
    <s v="Rural+Urban"/>
    <x v="7"/>
    <s v="July"/>
    <n v="151.80000000000001"/>
  </r>
  <r>
    <s v="Rural"/>
    <x v="7"/>
    <s v="August"/>
    <n v="154.69999999999999"/>
  </r>
  <r>
    <s v="Urban"/>
    <x v="7"/>
    <s v="August"/>
    <n v="152.9"/>
  </r>
  <r>
    <s v="Rural+Urban"/>
    <x v="7"/>
    <s v="August"/>
    <n v="153.9"/>
  </r>
  <r>
    <s v="Rural"/>
    <x v="7"/>
    <s v="September"/>
    <n v="155.4"/>
  </r>
  <r>
    <s v="Urban"/>
    <x v="7"/>
    <s v="September"/>
    <n v="154"/>
  </r>
  <r>
    <s v="Rural+Urban"/>
    <x v="7"/>
    <s v="September"/>
    <n v="154.69999999999999"/>
  </r>
  <r>
    <s v="Rural"/>
    <x v="7"/>
    <s v="October"/>
    <n v="157.5"/>
  </r>
  <r>
    <s v="Urban"/>
    <x v="7"/>
    <s v="October"/>
    <n v="155.19999999999999"/>
  </r>
  <r>
    <s v="Rural+Urban"/>
    <x v="7"/>
    <s v="October"/>
    <n v="156.4"/>
  </r>
  <r>
    <s v="Rural"/>
    <x v="7"/>
    <s v="November"/>
    <n v="159.80000000000001"/>
  </r>
  <r>
    <s v="Urban"/>
    <x v="7"/>
    <s v="November"/>
    <n v="156.69999999999999"/>
  </r>
  <r>
    <s v="Rural+Urban"/>
    <x v="7"/>
    <s v="November"/>
    <n v="158.4"/>
  </r>
  <r>
    <s v="Rural"/>
    <x v="7"/>
    <s v="December"/>
    <n v="160.69999999999999"/>
  </r>
  <r>
    <s v="Urban"/>
    <x v="7"/>
    <s v="December"/>
    <n v="156.9"/>
  </r>
  <r>
    <s v="Rural+Urban"/>
    <x v="7"/>
    <s v="December"/>
    <n v="158.9"/>
  </r>
  <r>
    <s v="Rural"/>
    <x v="8"/>
    <s v="January"/>
    <n v="158.5"/>
  </r>
  <r>
    <s v="Urban"/>
    <x v="8"/>
    <s v="January"/>
    <n v="156"/>
  </r>
  <r>
    <s v="Rural+Urban"/>
    <x v="8"/>
    <s v="January"/>
    <n v="157.30000000000001"/>
  </r>
  <r>
    <s v="Rural"/>
    <x v="8"/>
    <s v="February"/>
    <n v="156.69999999999999"/>
  </r>
  <r>
    <s v="Urban"/>
    <x v="8"/>
    <s v="February"/>
    <n v="156.5"/>
  </r>
  <r>
    <s v="Rural+Urban"/>
    <x v="8"/>
    <s v="February"/>
    <n v="156.6"/>
  </r>
  <r>
    <s v="Rural"/>
    <x v="8"/>
    <s v="March"/>
    <n v="156.69999999999999"/>
  </r>
  <r>
    <s v="Urban"/>
    <x v="8"/>
    <s v="March"/>
    <n v="156.9"/>
  </r>
  <r>
    <s v="Rural+Urban"/>
    <x v="8"/>
    <s v="March"/>
    <n v="156.80000000000001"/>
  </r>
  <r>
    <s v="Rural"/>
    <x v="8"/>
    <s v="April"/>
    <n v="157.6"/>
  </r>
  <r>
    <s v="Urban"/>
    <x v="8"/>
    <s v="April"/>
    <n v="158"/>
  </r>
  <r>
    <s v="Rural+Urban"/>
    <x v="8"/>
    <s v="April"/>
    <n v="157.80000000000001"/>
  </r>
  <r>
    <s v="Rural"/>
    <x v="8"/>
    <s v="May"/>
    <n v="161.1"/>
  </r>
  <r>
    <s v="Urban"/>
    <x v="8"/>
    <s v="May"/>
    <n v="159.5"/>
  </r>
  <r>
    <s v="Rural+Urban"/>
    <x v="8"/>
    <s v="May"/>
    <n v="160.4"/>
  </r>
  <r>
    <s v="Rural"/>
    <x v="8"/>
    <s v="June"/>
    <n v="162.1"/>
  </r>
  <r>
    <s v="Urban"/>
    <x v="8"/>
    <s v="June"/>
    <n v="160.4"/>
  </r>
  <r>
    <s v="Rural+Urban"/>
    <x v="8"/>
    <s v="June"/>
    <n v="161.30000000000001"/>
  </r>
  <r>
    <s v="Rural"/>
    <x v="8"/>
    <s v="July"/>
    <n v="163.19999999999999"/>
  </r>
  <r>
    <s v="Urban"/>
    <x v="8"/>
    <s v="July"/>
    <n v="161.80000000000001"/>
  </r>
  <r>
    <s v="Rural+Urban"/>
    <x v="8"/>
    <s v="July"/>
    <n v="162.5"/>
  </r>
  <r>
    <s v="Rural"/>
    <x v="8"/>
    <s v="August"/>
    <n v="163.6"/>
  </r>
  <r>
    <s v="Urban"/>
    <x v="8"/>
    <s v="August"/>
    <n v="162.30000000000001"/>
  </r>
  <r>
    <s v="Rural+Urban"/>
    <x v="8"/>
    <s v="August"/>
    <n v="163.19999999999999"/>
  </r>
  <r>
    <s v="Rural"/>
    <x v="8"/>
    <s v="September"/>
    <n v="164"/>
  </r>
  <r>
    <s v="Urban"/>
    <x v="8"/>
    <s v="September"/>
    <n v="162.30000000000001"/>
  </r>
  <r>
    <s v="Rural+Urban"/>
    <x v="8"/>
    <s v="September"/>
    <n v="163.19999999999999"/>
  </r>
  <r>
    <s v="Rural"/>
    <x v="8"/>
    <s v="October"/>
    <n v="166.3"/>
  </r>
  <r>
    <s v="Urban"/>
    <x v="8"/>
    <s v="October"/>
    <n v="164.6"/>
  </r>
  <r>
    <s v="Rural+Urban"/>
    <x v="8"/>
    <s v="October"/>
    <n v="165.5"/>
  </r>
  <r>
    <s v="Rural"/>
    <x v="8"/>
    <s v="November"/>
    <n v="167.6"/>
  </r>
  <r>
    <s v="Urban"/>
    <x v="8"/>
    <s v="November"/>
    <n v="165.6"/>
  </r>
  <r>
    <s v="Rural+Urban"/>
    <x v="8"/>
    <s v="November"/>
    <n v="166.7"/>
  </r>
  <r>
    <s v="Rural"/>
    <x v="8"/>
    <s v="December"/>
    <n v="167"/>
  </r>
  <r>
    <s v="Urban"/>
    <x v="8"/>
    <s v="December"/>
    <n v="165.2"/>
  </r>
  <r>
    <s v="Rural+Urban"/>
    <x v="8"/>
    <s v="December"/>
    <n v="166.2"/>
  </r>
  <r>
    <s v="Rural"/>
    <x v="9"/>
    <s v="January"/>
    <n v="166.4"/>
  </r>
  <r>
    <s v="Urban"/>
    <x v="9"/>
    <s v="January"/>
    <n v="165"/>
  </r>
  <r>
    <s v="Rural+Urban"/>
    <x v="9"/>
    <s v="January"/>
    <n v="165.7"/>
  </r>
  <r>
    <s v="Rural"/>
    <x v="9"/>
    <s v="February"/>
    <n v="166.7"/>
  </r>
  <r>
    <s v="Urban"/>
    <x v="9"/>
    <s v="February"/>
    <n v="165.5"/>
  </r>
  <r>
    <s v="Rural+Urban"/>
    <x v="9"/>
    <s v="February"/>
    <n v="166.1"/>
  </r>
  <r>
    <s v="Rural"/>
    <x v="9"/>
    <s v="March"/>
    <n v="168.7"/>
  </r>
  <r>
    <s v="Urban"/>
    <x v="9"/>
    <s v="March"/>
    <n v="166.5"/>
  </r>
  <r>
    <s v="Rural+Urban"/>
    <x v="9"/>
    <s v="March"/>
    <n v="167.7"/>
  </r>
  <r>
    <s v="Rural"/>
    <x v="9"/>
    <s v="April"/>
    <n v="170.8"/>
  </r>
  <r>
    <s v="Urban"/>
    <x v="9"/>
    <s v="April"/>
    <n v="169.2"/>
  </r>
  <r>
    <s v="Rural+Urban"/>
    <x v="9"/>
    <s v="April"/>
    <n v="170.1"/>
  </r>
  <r>
    <s v="Rural"/>
    <x v="9"/>
    <s v="May"/>
    <n v="172.5"/>
  </r>
  <r>
    <s v="Urban"/>
    <x v="9"/>
    <s v="May"/>
    <n v="170.8"/>
  </r>
  <r>
    <s v="Rural+Urban"/>
    <x v="9"/>
    <s v="May"/>
    <n v="171.7"/>
  </r>
  <r>
    <s v="Rural"/>
    <x v="9"/>
    <s v="June"/>
    <n v="173.6"/>
  </r>
  <r>
    <s v="Urban"/>
    <x v="9"/>
    <s v="June"/>
    <n v="171.4"/>
  </r>
  <r>
    <s v="Rural+Urban"/>
    <x v="9"/>
    <s v="June"/>
    <n v="172.6"/>
  </r>
  <r>
    <s v="Rural"/>
    <x v="9"/>
    <s v="July"/>
    <n v="174.3"/>
  </r>
  <r>
    <s v="Urban"/>
    <x v="9"/>
    <s v="July"/>
    <n v="172.3"/>
  </r>
  <r>
    <s v="Rural+Urban"/>
    <x v="9"/>
    <s v="July"/>
    <n v="173.4"/>
  </r>
  <r>
    <s v="Rural"/>
    <x v="9"/>
    <s v="August"/>
    <n v="175.3"/>
  </r>
  <r>
    <s v="Urban"/>
    <x v="9"/>
    <s v="August"/>
    <n v="173.1"/>
  </r>
  <r>
    <s v="Rural+Urban"/>
    <x v="9"/>
    <s v="August"/>
    <n v="174.3"/>
  </r>
  <r>
    <s v="Rural"/>
    <x v="9"/>
    <s v="September"/>
    <n v="176.4"/>
  </r>
  <r>
    <s v="Urban"/>
    <x v="9"/>
    <s v="September"/>
    <n v="174.1"/>
  </r>
  <r>
    <s v="Rural+Urban"/>
    <x v="9"/>
    <s v="September"/>
    <n v="175.3"/>
  </r>
  <r>
    <s v="Rural"/>
    <x v="9"/>
    <s v="October"/>
    <n v="177.9"/>
  </r>
  <r>
    <s v="Urban"/>
    <x v="9"/>
    <s v="October"/>
    <n v="175.3"/>
  </r>
  <r>
    <s v="Rural+Urban"/>
    <x v="9"/>
    <s v="October"/>
    <n v="176.7"/>
  </r>
  <r>
    <s v="Rural"/>
    <x v="9"/>
    <s v="November"/>
    <n v="177.8"/>
  </r>
  <r>
    <s v="Urban"/>
    <x v="9"/>
    <s v="November"/>
    <n v="174.1"/>
  </r>
  <r>
    <s v="Rural+Urban"/>
    <x v="9"/>
    <s v="November"/>
    <n v="176.5"/>
  </r>
  <r>
    <s v="Rural"/>
    <x v="9"/>
    <s v="December"/>
    <n v="177.1"/>
  </r>
  <r>
    <s v="Urban"/>
    <x v="9"/>
    <s v="December"/>
    <n v="174.1"/>
  </r>
  <r>
    <s v="Rural+Urban"/>
    <x v="9"/>
    <s v="December"/>
    <n v="175.7"/>
  </r>
  <r>
    <s v="Rural"/>
    <x v="10"/>
    <s v="January"/>
    <n v="177.8"/>
  </r>
  <r>
    <s v="Urban"/>
    <x v="10"/>
    <s v="January"/>
    <n v="174.9"/>
  </r>
  <r>
    <s v="Rural+Urban"/>
    <x v="10"/>
    <s v="January"/>
    <n v="176.5"/>
  </r>
  <r>
    <s v="Rural"/>
    <x v="10"/>
    <s v="February"/>
    <n v="178"/>
  </r>
  <r>
    <s v="Urban"/>
    <x v="10"/>
    <s v="February"/>
    <n v="176.3"/>
  </r>
  <r>
    <s v="Rural+Urban"/>
    <x v="10"/>
    <s v="February"/>
    <n v="177.2"/>
  </r>
  <r>
    <s v="Rural"/>
    <x v="10"/>
    <s v="March"/>
    <n v="178"/>
  </r>
  <r>
    <s v="Urban"/>
    <x v="10"/>
    <s v="March"/>
    <n v="176.3"/>
  </r>
  <r>
    <s v="Rural+Urban"/>
    <x v="10"/>
    <s v="March"/>
    <n v="177.2"/>
  </r>
  <r>
    <s v="Rural"/>
    <x v="10"/>
    <s v="April"/>
    <n v="178.8"/>
  </r>
  <r>
    <s v="Urban"/>
    <x v="10"/>
    <s v="April"/>
    <n v="177.4"/>
  </r>
  <r>
    <s v="Rural+Urban"/>
    <x v="10"/>
    <s v="April"/>
    <n v="178.1"/>
  </r>
  <r>
    <s v="Rural"/>
    <x v="10"/>
    <s v="May"/>
    <n v="179.8"/>
  </r>
  <r>
    <s v="Urban"/>
    <x v="10"/>
    <s v="May"/>
    <n v="178.2"/>
  </r>
  <r>
    <s v="Rural+Urban"/>
    <x v="10"/>
    <s v="May"/>
    <n v="1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n v="2013"/>
    <s v="January"/>
    <d v="2013-01-01T00:00:00"/>
    <n v="105.63846153846156"/>
    <n v="105.1"/>
    <n v="106"/>
    <n v="102.9"/>
    <n v="104.4"/>
    <n v="103.2"/>
    <n v="103.1"/>
    <n v="103.6"/>
    <n v="104.5"/>
    <n v="103.9"/>
    <n v="104.6"/>
    <n v="104.23384615384616"/>
    <x v="0"/>
  </r>
  <r>
    <x v="0"/>
    <n v="2013"/>
    <s v="February"/>
    <d v="2013-02-01T00:00:00"/>
    <n v="106.47692307692309"/>
    <n v="105.7"/>
    <n v="106.56666666666666"/>
    <n v="106"/>
    <n v="104.85"/>
    <n v="104.2"/>
    <n v="103.6"/>
    <n v="103.9"/>
    <n v="104.5"/>
    <n v="104.4"/>
    <n v="105.3"/>
    <n v="105.01935897435899"/>
    <x v="0"/>
  </r>
  <r>
    <x v="0"/>
    <n v="2013"/>
    <s v="March"/>
    <d v="2013-03-01T00:00:00"/>
    <n v="106.46153846153848"/>
    <n v="106.6"/>
    <n v="107.06666666666666"/>
    <n v="106.1"/>
    <n v="105.25"/>
    <n v="105.1"/>
    <n v="103.7"/>
    <n v="104"/>
    <n v="104.3"/>
    <n v="104.7"/>
    <n v="105.5"/>
    <n v="105.32782051282052"/>
    <x v="0"/>
  </r>
  <r>
    <x v="0"/>
    <n v="2013"/>
    <s v="April"/>
    <d v="2013-04-01T00:00:00"/>
    <n v="106.93846153846154"/>
    <n v="107.5"/>
    <n v="107.63333333333333"/>
    <n v="106.5"/>
    <n v="105.8"/>
    <n v="104.7"/>
    <n v="104.2"/>
    <n v="105"/>
    <n v="102.9"/>
    <n v="104.8"/>
    <n v="106.1"/>
    <n v="105.59717948717949"/>
    <x v="0"/>
  </r>
  <r>
    <x v="0"/>
    <n v="2013"/>
    <s v="May"/>
    <d v="2013-05-01T00:00:00"/>
    <n v="107.86153846153844"/>
    <n v="108.6"/>
    <n v="108.2"/>
    <n v="107.4"/>
    <n v="106.4"/>
    <n v="104"/>
    <n v="104.8"/>
    <n v="105.6"/>
    <n v="102.3"/>
    <n v="104.8"/>
    <n v="106.9"/>
    <n v="105.99615384615383"/>
    <x v="0"/>
  </r>
  <r>
    <x v="0"/>
    <n v="2013"/>
    <s v="June"/>
    <d v="2013-06-01T00:00:00"/>
    <n v="110.46153846153847"/>
    <n v="109.5"/>
    <n v="108.96666666666665"/>
    <n v="108.3"/>
    <n v="107"/>
    <n v="105.1"/>
    <n v="105.4"/>
    <n v="107.4"/>
    <n v="102.8"/>
    <n v="105.8"/>
    <n v="109.3"/>
    <n v="107.0728205128205"/>
    <x v="0"/>
  </r>
  <r>
    <x v="0"/>
    <n v="2013"/>
    <s v="July"/>
    <d v="2013-07-01T00:00:00"/>
    <n v="112.41538461538461"/>
    <n v="110.3"/>
    <n v="109.66666666666667"/>
    <n v="109.2"/>
    <n v="107.6"/>
    <n v="107.1"/>
    <n v="106.1"/>
    <n v="109.1"/>
    <n v="102.8"/>
    <n v="106.9"/>
    <n v="111"/>
    <n v="108.11820512820513"/>
    <x v="0"/>
  </r>
  <r>
    <x v="0"/>
    <n v="2013"/>
    <s v="August"/>
    <d v="2013-08-01T00:00:00"/>
    <n v="113.64615384615385"/>
    <n v="111.2"/>
    <n v="110.36666666666667"/>
    <n v="109.7"/>
    <n v="108.1"/>
    <n v="108"/>
    <n v="106.6"/>
    <n v="109.9"/>
    <n v="105.4"/>
    <n v="107.9"/>
    <n v="112.4"/>
    <n v="109.08128205128205"/>
    <x v="0"/>
  </r>
  <r>
    <x v="0"/>
    <n v="2013"/>
    <s v="September"/>
    <d v="2013-09-01T00:00:00"/>
    <n v="114.74615384615383"/>
    <n v="112"/>
    <n v="111.5"/>
    <n v="110.5"/>
    <n v="108.85"/>
    <n v="109.9"/>
    <n v="107.5"/>
    <n v="110.6"/>
    <n v="106.8"/>
    <n v="109"/>
    <n v="113.7"/>
    <n v="110.13961538461538"/>
    <x v="0"/>
  </r>
  <r>
    <x v="0"/>
    <n v="2013"/>
    <s v="October"/>
    <d v="2013-10-01T00:00:00"/>
    <n v="116.16923076923079"/>
    <n v="112.5"/>
    <n v="112.39999999999999"/>
    <n v="110.9"/>
    <n v="109.44999999999999"/>
    <n v="109.5"/>
    <n v="108.1"/>
    <n v="110.8"/>
    <n v="107.4"/>
    <n v="109.2"/>
    <n v="114.8"/>
    <n v="110.64192307692308"/>
    <x v="0"/>
  </r>
  <r>
    <x v="0"/>
    <n v="2013"/>
    <s v="November"/>
    <d v="2013-11-01T00:00:00"/>
    <n v="118.36923076923077"/>
    <n v="113.1"/>
    <n v="113.30000000000001"/>
    <n v="111.6"/>
    <n v="110.19999999999999"/>
    <n v="109.5"/>
    <n v="108.6"/>
    <n v="111.2"/>
    <n v="108.1"/>
    <n v="109.7"/>
    <n v="116.3"/>
    <n v="111.36692307692309"/>
    <x v="0"/>
  </r>
  <r>
    <x v="0"/>
    <n v="2013"/>
    <s v="December"/>
    <d v="2013-12-01T00:00:00"/>
    <n v="115.94615384615386"/>
    <n v="114"/>
    <n v="114.23333333333333"/>
    <n v="111.9"/>
    <n v="110.7"/>
    <n v="109.8"/>
    <n v="109"/>
    <n v="111.5"/>
    <n v="107.9"/>
    <n v="110"/>
    <n v="114.5"/>
    <n v="111.4979487179487"/>
    <x v="0"/>
  </r>
  <r>
    <x v="0"/>
    <n v="2014"/>
    <s v="January"/>
    <d v="2014-01-01T00:00:00"/>
    <n v="114.29230769230767"/>
    <n v="114.5"/>
    <n v="114.8"/>
    <n v="112.2"/>
    <n v="111.3"/>
    <n v="110.7"/>
    <n v="109.7"/>
    <n v="111.6"/>
    <n v="108.2"/>
    <n v="110.6"/>
    <n v="113.6"/>
    <n v="111.78923076923077"/>
    <x v="0"/>
  </r>
  <r>
    <x v="0"/>
    <n v="2014"/>
    <s v="February"/>
    <d v="2014-02-01T00:00:00"/>
    <n v="113.85384615384615"/>
    <n v="114.7"/>
    <n v="115.2"/>
    <n v="112.4"/>
    <n v="111.75"/>
    <n v="111.1"/>
    <n v="110.1"/>
    <n v="111.8"/>
    <n v="108.7"/>
    <n v="110.9"/>
    <n v="113.6"/>
    <n v="112.05038461538463"/>
    <x v="0"/>
  </r>
  <r>
    <x v="0"/>
    <n v="2014"/>
    <s v="Marcrh"/>
    <e v="#VALUE!"/>
    <n v="114.48461538461537"/>
    <n v="115.2"/>
    <n v="115.63333333333333"/>
    <n v="112.5"/>
    <n v="112.2"/>
    <n v="111.4"/>
    <n v="110.6"/>
    <n v="112"/>
    <n v="109"/>
    <n v="111.3"/>
    <n v="114.2"/>
    <n v="112.43179487179486"/>
    <x v="0"/>
  </r>
  <r>
    <x v="0"/>
    <n v="2014"/>
    <s v="April"/>
    <d v="2014-04-01T00:00:00"/>
    <n v="115.69999999999999"/>
    <n v="116"/>
    <n v="116.33333333333333"/>
    <n v="112.5"/>
    <n v="112.55"/>
    <n v="111.2"/>
    <n v="110.9"/>
    <n v="112.7"/>
    <n v="109"/>
    <n v="111.5"/>
    <n v="115.1"/>
    <n v="112.83833333333332"/>
    <x v="0"/>
  </r>
  <r>
    <x v="0"/>
    <n v="2014"/>
    <s v="May"/>
    <d v="2014-05-01T00:00:00"/>
    <n v="116.80769230769235"/>
    <n v="116.8"/>
    <n v="116.93333333333332"/>
    <n v="112.5"/>
    <n v="112.94999999999999"/>
    <n v="111.3"/>
    <n v="111.2"/>
    <n v="113"/>
    <n v="109.1"/>
    <n v="111.8"/>
    <n v="115.8"/>
    <n v="113.23910256410257"/>
    <x v="0"/>
  </r>
  <r>
    <x v="0"/>
    <n v="2014"/>
    <s v="June"/>
    <d v="2014-06-01T00:00:00"/>
    <n v="117.9769230769231"/>
    <n v="117.8"/>
    <n v="117.56666666666666"/>
    <n v="113.2"/>
    <n v="113.44999999999999"/>
    <n v="111.8"/>
    <n v="111.6"/>
    <n v="114.8"/>
    <n v="108.3"/>
    <n v="112.3"/>
    <n v="116.7"/>
    <n v="113.87935897435895"/>
    <x v="0"/>
  </r>
  <r>
    <x v="0"/>
    <n v="2014"/>
    <s v="July"/>
    <d v="2014-07-01T00:00:00"/>
    <n v="121.25384615384615"/>
    <n v="118.8"/>
    <n v="118.33333333333333"/>
    <n v="113.9"/>
    <n v="113.95"/>
    <n v="113.1"/>
    <n v="112.1"/>
    <n v="116.8"/>
    <n v="109.2"/>
    <n v="113.3"/>
    <n v="119.2"/>
    <n v="115.07371794871794"/>
    <x v="0"/>
  </r>
  <r>
    <x v="0"/>
    <n v="2014"/>
    <s v="August"/>
    <d v="2014-08-01T00:00:00"/>
    <n v="122.65384615384613"/>
    <n v="119.9"/>
    <n v="118.8"/>
    <n v="114"/>
    <n v="114.44999999999999"/>
    <n v="112.8"/>
    <n v="112.6"/>
    <n v="118"/>
    <n v="109.9"/>
    <n v="113.7"/>
    <n v="120.3"/>
    <n v="115.68038461538461"/>
    <x v="0"/>
  </r>
  <r>
    <x v="0"/>
    <n v="2014"/>
    <s v="September"/>
    <d v="2014-09-01T00:00:00"/>
    <n v="122.00769230769228"/>
    <n v="120.8"/>
    <n v="119.33333333333333"/>
    <n v="114.3"/>
    <n v="114.9"/>
    <n v="112"/>
    <n v="113.1"/>
    <n v="118.6"/>
    <n v="109.5"/>
    <n v="113.7"/>
    <n v="120.1"/>
    <n v="115.82410256410256"/>
    <x v="0"/>
  </r>
  <r>
    <x v="0"/>
    <n v="2014"/>
    <s v="October"/>
    <d v="2014-10-01T00:00:00"/>
    <n v="121.74615384615385"/>
    <n v="121.1"/>
    <n v="120.2"/>
    <n v="114.7"/>
    <n v="115.5"/>
    <n v="111.8"/>
    <n v="113.3"/>
    <n v="118.8"/>
    <n v="109.6"/>
    <n v="113.9"/>
    <n v="120.1"/>
    <n v="116.06461538461538"/>
    <x v="0"/>
  </r>
  <r>
    <x v="0"/>
    <n v="2014"/>
    <s v="November"/>
    <d v="2014-11-01T00:00:00"/>
    <n v="121.78461538461539"/>
    <n v="122.1"/>
    <n v="120.7"/>
    <n v="115.5"/>
    <n v="116.05"/>
    <n v="110.8"/>
    <n v="113.7"/>
    <n v="119"/>
    <n v="109.1"/>
    <n v="113.8"/>
    <n v="120.1"/>
    <n v="116.25346153846154"/>
    <x v="0"/>
  </r>
  <r>
    <x v="0"/>
    <n v="2014"/>
    <s v="December"/>
    <d v="2014-12-01T00:00:00"/>
    <n v="120.89999999999999"/>
    <n v="123"/>
    <n v="121.06666666666666"/>
    <n v="115.7"/>
    <n v="116.3"/>
    <n v="110.1"/>
    <n v="113.9"/>
    <n v="119.5"/>
    <n v="109.8"/>
    <n v="113.8"/>
    <n v="119.4"/>
    <n v="116.40666666666667"/>
    <x v="0"/>
  </r>
  <r>
    <x v="0"/>
    <n v="2015"/>
    <s v="January"/>
    <d v="2015-01-01T00:00:00"/>
    <n v="120.71538461538461"/>
    <n v="124"/>
    <n v="121.63333333333333"/>
    <n v="116.5"/>
    <n v="116.8"/>
    <n v="109.4"/>
    <n v="114.3"/>
    <n v="119.7"/>
    <n v="110.7"/>
    <n v="114"/>
    <n v="119.5"/>
    <n v="116.7748717948718"/>
    <x v="0"/>
  </r>
  <r>
    <x v="0"/>
    <n v="2015"/>
    <s v="February"/>
    <d v="2015-02-01T00:00:00"/>
    <n v="120.72307692307689"/>
    <n v="125.2"/>
    <n v="122.39999999999999"/>
    <n v="117.7"/>
    <n v="117.5"/>
    <n v="108.7"/>
    <n v="114.9"/>
    <n v="119.7"/>
    <n v="111.2"/>
    <n v="114.1"/>
    <n v="119.7"/>
    <n v="117.21230769230768"/>
    <x v="0"/>
  </r>
  <r>
    <x v="0"/>
    <n v="2015"/>
    <s v="March"/>
    <d v="2015-03-01T00:00:00"/>
    <n v="120.69999999999999"/>
    <n v="125.8"/>
    <n v="122.8"/>
    <n v="118.3"/>
    <n v="117.95"/>
    <n v="109.9"/>
    <n v="115.4"/>
    <n v="120.1"/>
    <n v="111"/>
    <n v="114.7"/>
    <n v="120.2"/>
    <n v="117.66500000000001"/>
    <x v="0"/>
  </r>
  <r>
    <x v="0"/>
    <n v="2015"/>
    <s v="April"/>
    <d v="2015-04-01T00:00:00"/>
    <n v="121.20769230769231"/>
    <n v="126.9"/>
    <n v="123.2"/>
    <n v="118.7"/>
    <n v="118.4"/>
    <n v="110.1"/>
    <n v="115.9"/>
    <n v="121"/>
    <n v="111.7"/>
    <n v="115.1"/>
    <n v="120.7"/>
    <n v="118.22076923076922"/>
    <x v="0"/>
  </r>
  <r>
    <x v="0"/>
    <n v="2015"/>
    <s v="May"/>
    <d v="2015-05-01T00:00:00"/>
    <n v="122.33846153846154"/>
    <n v="127.9"/>
    <n v="123.8"/>
    <n v="119.2"/>
    <n v="118.95"/>
    <n v="112"/>
    <n v="116.3"/>
    <n v="121.4"/>
    <n v="112.3"/>
    <n v="116.1"/>
    <n v="121.6"/>
    <n v="119.02884615384615"/>
    <x v="0"/>
  </r>
  <r>
    <x v="0"/>
    <n v="2015"/>
    <s v="June"/>
    <d v="2015-06-01T00:00:00"/>
    <n v="124.88461538461539"/>
    <n v="129.19999999999999"/>
    <n v="124.7"/>
    <n v="119.8"/>
    <n v="119.8"/>
    <n v="112.9"/>
    <n v="116.9"/>
    <n v="123.1"/>
    <n v="112.8"/>
    <n v="117"/>
    <n v="123"/>
    <n v="120.10846153846153"/>
    <x v="0"/>
  </r>
  <r>
    <x v="0"/>
    <n v="2015"/>
    <s v="July"/>
    <d v="2015-07-01T00:00:00"/>
    <n v="125.43076923076924"/>
    <n v="130.4"/>
    <n v="125.03333333333335"/>
    <n v="120.1"/>
    <n v="120.15"/>
    <n v="112.7"/>
    <n v="117.2"/>
    <n v="124.4"/>
    <n v="112.3"/>
    <n v="117.2"/>
    <n v="123.6"/>
    <n v="120.49141025641026"/>
    <x v="0"/>
  </r>
  <r>
    <x v="0"/>
    <n v="2015"/>
    <s v="August"/>
    <d v="2015-08-01T00:00:00"/>
    <n v="126.89230769230768"/>
    <n v="131.19999999999999"/>
    <n v="125.56666666666668"/>
    <n v="120.6"/>
    <n v="120.7"/>
    <n v="111.7"/>
    <n v="117.8"/>
    <n v="125.1"/>
    <n v="112.3"/>
    <n v="117.2"/>
    <n v="124.8"/>
    <n v="120.90589743589744"/>
    <x v="0"/>
  </r>
  <r>
    <x v="0"/>
    <n v="2015"/>
    <s v="September"/>
    <d v="2015-09-01T00:00:00"/>
    <n v="127.56153846153848"/>
    <n v="132"/>
    <n v="126.16666666666667"/>
    <n v="120.4"/>
    <n v="121.19999999999999"/>
    <n v="111.3"/>
    <n v="118.3"/>
    <n v="125.7"/>
    <n v="113.4"/>
    <n v="117.5"/>
    <n v="125.4"/>
    <n v="121.35282051282051"/>
    <x v="0"/>
  </r>
  <r>
    <x v="0"/>
    <n v="2015"/>
    <s v="October"/>
    <d v="2015-10-01T00:00:00"/>
    <n v="129.15384615384613"/>
    <n v="132.5"/>
    <n v="126.7"/>
    <n v="120.8"/>
    <n v="121.7"/>
    <n v="111.4"/>
    <n v="118.7"/>
    <n v="125.9"/>
    <n v="113.9"/>
    <n v="117.9"/>
    <n v="126.1"/>
    <n v="121.86538461538461"/>
    <x v="0"/>
  </r>
  <r>
    <x v="0"/>
    <n v="2015"/>
    <s v="November"/>
    <d v="2015-11-01T00:00:00"/>
    <n v="130.16153846153844"/>
    <n v="133.6"/>
    <n v="127.46666666666665"/>
    <n v="121.6"/>
    <n v="122.15"/>
    <n v="111.5"/>
    <n v="119.2"/>
    <n v="126.3"/>
    <n v="113.8"/>
    <n v="118.1"/>
    <n v="126.6"/>
    <n v="122.38782051282048"/>
    <x v="0"/>
  </r>
  <r>
    <x v="0"/>
    <n v="2015"/>
    <s v="December"/>
    <d v="2015-12-01T00:00:00"/>
    <n v="129.70000000000002"/>
    <n v="134.5"/>
    <n v="127.83333333333333"/>
    <n v="122"/>
    <n v="122.5"/>
    <n v="111.5"/>
    <n v="119.6"/>
    <n v="126.2"/>
    <n v="113.7"/>
    <n v="118.3"/>
    <n v="126.1"/>
    <n v="122.58333333333333"/>
    <x v="0"/>
  </r>
  <r>
    <x v="0"/>
    <n v="2016"/>
    <s v="January"/>
    <d v="2016-01-01T00:00:00"/>
    <n v="130.13076923076923"/>
    <n v="135.19999999999999"/>
    <n v="128.29999999999998"/>
    <n v="122.7"/>
    <n v="123.1"/>
    <n v="111.1"/>
    <n v="119.8"/>
    <n v="126.3"/>
    <n v="114.5"/>
    <n v="118.5"/>
    <n v="126.3"/>
    <n v="122.96307692307691"/>
    <x v="0"/>
  </r>
  <r>
    <x v="0"/>
    <n v="2016"/>
    <s v="February"/>
    <d v="2016-02-01T00:00:00"/>
    <n v="129.08461538461538"/>
    <n v="135.9"/>
    <n v="128.96666666666667"/>
    <n v="123.1"/>
    <n v="123.55"/>
    <n v="111.4"/>
    <n v="120.3"/>
    <n v="126.6"/>
    <n v="116.6"/>
    <n v="119.1"/>
    <n v="126"/>
    <n v="123.4601282051282"/>
    <x v="0"/>
  </r>
  <r>
    <x v="0"/>
    <n v="2016"/>
    <s v="March"/>
    <d v="2016-03-01T00:00:00"/>
    <n v="128.86153846153846"/>
    <n v="136.5"/>
    <n v="129.29999999999998"/>
    <n v="122.4"/>
    <n v="124"/>
    <n v="110.9"/>
    <n v="120.6"/>
    <n v="126.9"/>
    <n v="117.3"/>
    <n v="119.3"/>
    <n v="126"/>
    <n v="123.60615384615383"/>
    <x v="0"/>
  </r>
  <r>
    <x v="0"/>
    <n v="2016"/>
    <s v="April"/>
    <d v="2016-04-01T00:00:00"/>
    <n v="130.86923076923077"/>
    <n v="137.1"/>
    <n v="129.73333333333335"/>
    <n v="122.3"/>
    <n v="124.35"/>
    <n v="112.1"/>
    <n v="121.1"/>
    <n v="127.7"/>
    <n v="118.1"/>
    <n v="120"/>
    <n v="127.3"/>
    <n v="124.33525641025642"/>
    <x v="0"/>
  </r>
  <r>
    <x v="0"/>
    <n v="2016"/>
    <s v="May"/>
    <d v="2016-05-01T00:00:00"/>
    <n v="133.1076923076923"/>
    <n v="137.69999999999999"/>
    <n v="130.13333333333333"/>
    <n v="122.7"/>
    <n v="124.85"/>
    <n v="112.8"/>
    <n v="121.5"/>
    <n v="128.5"/>
    <n v="119.2"/>
    <n v="120.7"/>
    <n v="128.6"/>
    <n v="125.11910256410256"/>
    <x v="0"/>
  </r>
  <r>
    <x v="0"/>
    <n v="2016"/>
    <s v="June"/>
    <d v="2016-06-01T00:00:00"/>
    <n v="135.43076923076922"/>
    <n v="138.69999999999999"/>
    <n v="130.70000000000002"/>
    <n v="123.3"/>
    <n v="125.25"/>
    <n v="114.2"/>
    <n v="121.7"/>
    <n v="129.69999999999999"/>
    <n v="119.4"/>
    <n v="121.5"/>
    <n v="130.1"/>
    <n v="125.98807692307693"/>
    <x v="0"/>
  </r>
  <r>
    <x v="0"/>
    <n v="2016"/>
    <s v="July"/>
    <d v="2016-07-01T00:00:00"/>
    <n v="137.19230769230768"/>
    <n v="139.30000000000001"/>
    <n v="131.26666666666668"/>
    <n v="123.4"/>
    <n v="125.7"/>
    <n v="113.9"/>
    <n v="122.4"/>
    <n v="130.80000000000001"/>
    <n v="120.5"/>
    <n v="121.9"/>
    <n v="131.1"/>
    <n v="126.63589743589743"/>
    <x v="0"/>
  </r>
  <r>
    <x v="0"/>
    <n v="2016"/>
    <s v="August"/>
    <d v="2016-08-01T00:00:00"/>
    <n v="136.76153846153846"/>
    <n v="140.19999999999999"/>
    <n v="131.83333333333331"/>
    <n v="123.6"/>
    <n v="126.1"/>
    <n v="113.1"/>
    <n v="122.7"/>
    <n v="131.69999999999999"/>
    <n v="121.5"/>
    <n v="122.1"/>
    <n v="131.1"/>
    <n v="126.95948717948718"/>
    <x v="0"/>
  </r>
  <r>
    <x v="0"/>
    <n v="2016"/>
    <s v="September"/>
    <d v="2016-09-01T00:00:00"/>
    <n v="135.66923076923075"/>
    <n v="141"/>
    <n v="132.33333333333334"/>
    <n v="124.1"/>
    <n v="126.65"/>
    <n v="114.3"/>
    <n v="122.9"/>
    <n v="131.80000000000001"/>
    <n v="122.1"/>
    <n v="122.8"/>
    <n v="130.9"/>
    <n v="127.36525641025639"/>
    <x v="0"/>
  </r>
  <r>
    <x v="0"/>
    <n v="2016"/>
    <s v="October"/>
    <d v="2016-10-01T00:00:00"/>
    <n v="135.90769230769226"/>
    <n v="141.80000000000001"/>
    <n v="133.03333333333333"/>
    <n v="124.3"/>
    <n v="127.25"/>
    <n v="115.2"/>
    <n v="123.5"/>
    <n v="132.4"/>
    <n v="122.1"/>
    <n v="123.4"/>
    <n v="131.4"/>
    <n v="127.88910256410256"/>
    <x v="0"/>
  </r>
  <r>
    <x v="0"/>
    <n v="2016"/>
    <s v="November"/>
    <d v="2016-11-01T00:00:00"/>
    <n v="135.36923076923077"/>
    <n v="142"/>
    <n v="133.36666666666667"/>
    <n v="125"/>
    <n v="127.5"/>
    <n v="115.7"/>
    <n v="124"/>
    <n v="132.80000000000001"/>
    <n v="122.6"/>
    <n v="123.8"/>
    <n v="131.19999999999999"/>
    <n v="128.21358974358972"/>
    <x v="0"/>
  </r>
  <r>
    <x v="0"/>
    <n v="2016"/>
    <s v="December"/>
    <d v="2016-12-01T00:00:00"/>
    <n v="133.9"/>
    <n v="143.1"/>
    <n v="133.83333333333334"/>
    <n v="126.6"/>
    <n v="128.05000000000001"/>
    <n v="116"/>
    <n v="124.2"/>
    <n v="133.1"/>
    <n v="121.1"/>
    <n v="123.9"/>
    <n v="130.4"/>
    <n v="128.37833333333333"/>
    <x v="0"/>
  </r>
  <r>
    <x v="0"/>
    <n v="2017"/>
    <s v="January"/>
    <d v="2017-01-01T00:00:00"/>
    <n v="132.86923076923074"/>
    <n v="143.80000000000001"/>
    <n v="134.13333333333333"/>
    <n v="126.8"/>
    <n v="128.25"/>
    <n v="117"/>
    <n v="124.2"/>
    <n v="133.30000000000001"/>
    <n v="121.7"/>
    <n v="124.4"/>
    <n v="130.30000000000001"/>
    <n v="128.64525641025642"/>
    <x v="0"/>
  </r>
  <r>
    <x v="0"/>
    <n v="2017"/>
    <s v="February"/>
    <d v="2017-02-01T00:00:00"/>
    <n v="132.48461538461541"/>
    <n v="144.4"/>
    <n v="134.33333333333334"/>
    <n v="127.9"/>
    <n v="128.55000000000001"/>
    <n v="117.4"/>
    <n v="124.6"/>
    <n v="133.4"/>
    <n v="122.6"/>
    <n v="124.8"/>
    <n v="130.6"/>
    <n v="129.04679487179487"/>
    <x v="0"/>
  </r>
  <r>
    <x v="0"/>
    <n v="2017"/>
    <s v="March"/>
    <d v="2017-03-01T00:00:00"/>
    <n v="132.22307692307692"/>
    <n v="145.1"/>
    <n v="134.76666666666665"/>
    <n v="129.1"/>
    <n v="128.94999999999999"/>
    <n v="117.6"/>
    <n v="125"/>
    <n v="133.80000000000001"/>
    <n v="122.6"/>
    <n v="125.1"/>
    <n v="130.9"/>
    <n v="129.42397435897436"/>
    <x v="0"/>
  </r>
  <r>
    <x v="0"/>
    <n v="2017"/>
    <s v="April"/>
    <d v="2017-04-01T00:00:00"/>
    <n v="132.1846153846154"/>
    <n v="145.4"/>
    <n v="135.36666666666667"/>
    <n v="129.80000000000001"/>
    <n v="129.25"/>
    <n v="116.6"/>
    <n v="125.1"/>
    <n v="134.5"/>
    <n v="123.1"/>
    <n v="125.1"/>
    <n v="131.1"/>
    <n v="129.64012820512818"/>
    <x v="0"/>
  </r>
  <r>
    <x v="0"/>
    <n v="2017"/>
    <s v="May"/>
    <d v="2017-05-01T00:00:00"/>
    <n v="132.27692307692308"/>
    <n v="146.19999999999999"/>
    <n v="135.6"/>
    <n v="129.4"/>
    <n v="129.65"/>
    <n v="116.7"/>
    <n v="125.7"/>
    <n v="134.80000000000001"/>
    <n v="123"/>
    <n v="125.3"/>
    <n v="131.4"/>
    <n v="129.8626923076923"/>
    <x v="0"/>
  </r>
  <r>
    <x v="0"/>
    <n v="2017"/>
    <s v="June"/>
    <d v="2017-06-01T00:00:00"/>
    <n v="133.43846153846155"/>
    <n v="146.5"/>
    <n v="135.9"/>
    <n v="128.80000000000001"/>
    <n v="129.85"/>
    <n v="116.5"/>
    <n v="125.9"/>
    <n v="135.4"/>
    <n v="123.4"/>
    <n v="125.5"/>
    <n v="132"/>
    <n v="130.11884615384616"/>
    <x v="0"/>
  </r>
  <r>
    <x v="0"/>
    <n v="2017"/>
    <s v="July"/>
    <d v="2017-07-01T00:00:00"/>
    <n v="136.1076923076923"/>
    <n v="148.19999999999999"/>
    <n v="136.56666666666666"/>
    <n v="129.4"/>
    <n v="130.65"/>
    <n v="116"/>
    <n v="126.6"/>
    <n v="136.80000000000001"/>
    <n v="123.6"/>
    <n v="125.9"/>
    <n v="134.19999999999999"/>
    <n v="130.98243589743589"/>
    <x v="0"/>
  </r>
  <r>
    <x v="0"/>
    <n v="2017"/>
    <s v="August"/>
    <d v="2017-08-01T00:00:00"/>
    <n v="137.21538461538461"/>
    <n v="149.80000000000001"/>
    <n v="137.53333333333333"/>
    <n v="129.80000000000001"/>
    <n v="131.5"/>
    <n v="117.3"/>
    <n v="127.3"/>
    <n v="137.6"/>
    <n v="124.5"/>
    <n v="126.8"/>
    <n v="135.4"/>
    <n v="131.93487179487175"/>
    <x v="0"/>
  </r>
  <r>
    <x v="0"/>
    <n v="2017"/>
    <s v="September"/>
    <d v="2017-09-01T00:00:00"/>
    <n v="136.15384615384613"/>
    <n v="150.80000000000001"/>
    <n v="138.16666666666666"/>
    <n v="131"/>
    <n v="131.94999999999999"/>
    <n v="118.3"/>
    <n v="127.9"/>
    <n v="137.4"/>
    <n v="125.7"/>
    <n v="127.5"/>
    <n v="135.19999999999999"/>
    <n v="132.48705128205125"/>
    <x v="0"/>
  </r>
  <r>
    <x v="0"/>
    <n v="2017"/>
    <s v="October"/>
    <d v="2017-10-01T00:00:00"/>
    <n v="136.89999999999998"/>
    <n v="151.6"/>
    <n v="138.96666666666667"/>
    <n v="132.19999999999999"/>
    <n v="132.44999999999999"/>
    <n v="117.8"/>
    <n v="128.4"/>
    <n v="137.9"/>
    <n v="126.2"/>
    <n v="127.7"/>
    <n v="136.1"/>
    <n v="133.01166666666668"/>
    <x v="0"/>
  </r>
  <r>
    <x v="0"/>
    <n v="2017"/>
    <s v="November"/>
    <d v="2017-11-01T00:00:00"/>
    <n v="139.09230769230768"/>
    <n v="153.19999999999999"/>
    <n v="139.86666666666667"/>
    <n v="135.30000000000001"/>
    <n v="133.5"/>
    <n v="118.3"/>
    <n v="128.9"/>
    <n v="138.6"/>
    <n v="126.8"/>
    <n v="128.4"/>
    <n v="137.6"/>
    <n v="134.19589743589742"/>
    <x v="0"/>
  </r>
  <r>
    <x v="0"/>
    <n v="2017"/>
    <s v="December"/>
    <d v="2017-12-01T00:00:00"/>
    <n v="138.07692307692307"/>
    <n v="154.19999999999999"/>
    <n v="140.06666666666666"/>
    <n v="136.6"/>
    <n v="133.89999999999998"/>
    <n v="118.5"/>
    <n v="129"/>
    <n v="138.5"/>
    <n v="126.5"/>
    <n v="128.6"/>
    <n v="137.19999999999999"/>
    <n v="134.39435897435897"/>
    <x v="0"/>
  </r>
  <r>
    <x v="0"/>
    <n v="2018"/>
    <s v="January"/>
    <d v="2018-01-01T00:00:00"/>
    <n v="136.91538461538462"/>
    <n v="154.69999999999999"/>
    <n v="140.43333333333334"/>
    <n v="136.6"/>
    <n v="134.10000000000002"/>
    <n v="119.3"/>
    <n v="129.69999999999999"/>
    <n v="139"/>
    <n v="127.3"/>
    <n v="129.1"/>
    <n v="136.9"/>
    <n v="134.71487179487178"/>
    <x v="0"/>
  </r>
  <r>
    <x v="0"/>
    <n v="2018"/>
    <s v="February"/>
    <d v="2018-02-01T00:00:00"/>
    <n v="135.4153846153846"/>
    <n v="154.9"/>
    <n v="140.66666666666666"/>
    <n v="136.69999999999999"/>
    <n v="134.5"/>
    <n v="120.2"/>
    <n v="129.9"/>
    <n v="139"/>
    <n v="127.7"/>
    <n v="129.6"/>
    <n v="136.4"/>
    <n v="134.85820512820513"/>
    <x v="0"/>
  </r>
  <r>
    <x v="0"/>
    <n v="2018"/>
    <s v="March"/>
    <d v="2018-03-01T00:00:00"/>
    <n v="135.07692307692307"/>
    <n v="156.30000000000001"/>
    <n v="141.20000000000002"/>
    <n v="136.5"/>
    <n v="134.94999999999999"/>
    <n v="121"/>
    <n v="130.4"/>
    <n v="139.80000000000001"/>
    <n v="128.19999999999999"/>
    <n v="130.30000000000001"/>
    <n v="136.5"/>
    <n v="135.37269230769232"/>
    <x v="0"/>
  </r>
  <r>
    <x v="0"/>
    <n v="2018"/>
    <s v="April"/>
    <d v="2018-04-01T00:00:00"/>
    <n v="135.16153846153847"/>
    <n v="156.9"/>
    <n v="142"/>
    <n v="136.5"/>
    <n v="135.89999999999998"/>
    <n v="121.9"/>
    <n v="131.30000000000001"/>
    <n v="141.4"/>
    <n v="129.19999999999999"/>
    <n v="131.30000000000001"/>
    <n v="137.1"/>
    <n v="136.15615384615384"/>
    <x v="0"/>
  </r>
  <r>
    <x v="0"/>
    <n v="2018"/>
    <s v="May"/>
    <d v="2018-05-01T00:00:00"/>
    <n v="135.36923076923077"/>
    <n v="157.9"/>
    <n v="142.69999999999999"/>
    <n v="136.9"/>
    <n v="136.69999999999999"/>
    <n v="122.9"/>
    <n v="131.80000000000001"/>
    <n v="142.1"/>
    <n v="129.9"/>
    <n v="132.1"/>
    <n v="137.80000000000001"/>
    <n v="136.83692307692306"/>
    <x v="0"/>
  </r>
  <r>
    <x v="0"/>
    <n v="2018"/>
    <s v="June"/>
    <d v="2018-06-01T00:00:00"/>
    <n v="136.46923076923079"/>
    <n v="158.30000000000001"/>
    <n v="143.23333333333332"/>
    <n v="138.1"/>
    <n v="137.05000000000001"/>
    <n v="123.7"/>
    <n v="132.6"/>
    <n v="142.80000000000001"/>
    <n v="130.1"/>
    <n v="132.6"/>
    <n v="138.5"/>
    <n v="137.49525641025642"/>
    <x v="0"/>
  </r>
  <r>
    <x v="0"/>
    <n v="2018"/>
    <s v="July"/>
    <d v="2018-07-01T00:00:00"/>
    <n v="138.1"/>
    <n v="157.5"/>
    <n v="143.60000000000002"/>
    <n v="139.69999999999999"/>
    <n v="137.80000000000001"/>
    <n v="123.6"/>
    <n v="133.1"/>
    <n v="144.69999999999999"/>
    <n v="130.1"/>
    <n v="133.19999999999999"/>
    <n v="139.80000000000001"/>
    <n v="138.14000000000001"/>
    <x v="0"/>
  </r>
  <r>
    <x v="0"/>
    <n v="2018"/>
    <s v="August"/>
    <d v="2018-08-01T00:00:00"/>
    <n v="138.36153846153849"/>
    <n v="157.9"/>
    <n v="144.06666666666669"/>
    <n v="140.9"/>
    <n v="138.55000000000001"/>
    <n v="124.3"/>
    <n v="133.6"/>
    <n v="146"/>
    <n v="130.1"/>
    <n v="133.9"/>
    <n v="140.4"/>
    <n v="138.76782051282052"/>
    <x v="0"/>
  </r>
  <r>
    <x v="0"/>
    <n v="2018"/>
    <s v="September"/>
    <d v="2018-09-01T00:00:00"/>
    <n v="136.88461538461539"/>
    <n v="159.19999999999999"/>
    <n v="144.43333333333331"/>
    <n v="142.30000000000001"/>
    <n v="139.05000000000001"/>
    <n v="126"/>
    <n v="134.5"/>
    <n v="146.19999999999999"/>
    <n v="130.9"/>
    <n v="134.69999999999999"/>
    <n v="140.19999999999999"/>
    <n v="139.41679487179488"/>
    <x v="0"/>
  </r>
  <r>
    <x v="0"/>
    <n v="2018"/>
    <s v="October"/>
    <d v="2018-10-01T00:00:00"/>
    <n v="136.63076923076923"/>
    <n v="162.6"/>
    <n v="144.66666666666666"/>
    <n v="145.30000000000001"/>
    <n v="142.14999999999998"/>
    <n v="125.5"/>
    <n v="136.5"/>
    <n v="147.80000000000001"/>
    <n v="132"/>
    <n v="136.30000000000001"/>
    <n v="140.80000000000001"/>
    <n v="140.94474358974361"/>
    <x v="0"/>
  </r>
  <r>
    <x v="0"/>
    <n v="2018"/>
    <s v="November"/>
    <d v="2018-11-01T00:00:00"/>
    <n v="136.59230769230771"/>
    <n v="162.6"/>
    <n v="144.6"/>
    <n v="145.1"/>
    <n v="142.14999999999998"/>
    <n v="125.5"/>
    <n v="136.5"/>
    <n v="147.80000000000001"/>
    <n v="132"/>
    <n v="136.30000000000001"/>
    <n v="140.80000000000001"/>
    <n v="140.91423076923076"/>
    <x v="0"/>
  </r>
  <r>
    <x v="0"/>
    <n v="2018"/>
    <s v="December"/>
    <d v="2018-12-01T00:00:00"/>
    <n v="135.59999999999997"/>
    <n v="163"/>
    <n v="144.76666666666668"/>
    <n v="142.69999999999999"/>
    <n v="144.05000000000001"/>
    <n v="123.6"/>
    <n v="136.80000000000001"/>
    <n v="150.1"/>
    <n v="132.19999999999999"/>
    <n v="136.80000000000001"/>
    <n v="140.1"/>
    <n v="140.96166666666664"/>
    <x v="0"/>
  </r>
  <r>
    <x v="0"/>
    <n v="2019"/>
    <s v="January"/>
    <d v="2019-01-01T00:00:00"/>
    <n v="134.87692307692308"/>
    <n v="163.19999999999999"/>
    <n v="144.33333333333334"/>
    <n v="139.5"/>
    <n v="144.35"/>
    <n v="123.3"/>
    <n v="136.69999999999999"/>
    <n v="150.19999999999999"/>
    <n v="132.80000000000001"/>
    <n v="136.9"/>
    <n v="139.6"/>
    <n v="140.61602564102566"/>
    <x v="0"/>
  </r>
  <r>
    <x v="0"/>
    <n v="2019"/>
    <s v="February"/>
    <d v="2019-02-01T00:00:00"/>
    <n v="135.16153846153844"/>
    <n v="163.4"/>
    <n v="144.63333333333333"/>
    <n v="138.4"/>
    <n v="144.64999999999998"/>
    <n v="123.9"/>
    <n v="137.1"/>
    <n v="150.30000000000001"/>
    <n v="134.1"/>
    <n v="137.4"/>
    <n v="139.9"/>
    <n v="140.90448717948718"/>
    <x v="0"/>
  </r>
  <r>
    <x v="0"/>
    <n v="2019"/>
    <s v="March"/>
    <d v="2019-03-01T00:00:00"/>
    <n v="135.6076923076923"/>
    <n v="163.5"/>
    <n v="144.83333333333334"/>
    <n v="139.69999999999999"/>
    <n v="145"/>
    <n v="124.6"/>
    <n v="137.69999999999999"/>
    <n v="150.30000000000001"/>
    <n v="133.4"/>
    <n v="137.69999999999999"/>
    <n v="140.4"/>
    <n v="141.23410256410256"/>
    <x v="0"/>
  </r>
  <r>
    <x v="0"/>
    <n v="2019"/>
    <s v="May"/>
    <d v="2019-05-01T00:00:00"/>
    <n v="137.83846153846156"/>
    <n v="164.1"/>
    <n v="145.36666666666667"/>
    <n v="140.30000000000001"/>
    <n v="145.30000000000001"/>
    <n v="124.9"/>
    <n v="139.19999999999999"/>
    <n v="151.6"/>
    <n v="133.4"/>
    <n v="138.19999999999999"/>
    <n v="142"/>
    <n v="142.02051282051281"/>
    <x v="0"/>
  </r>
  <r>
    <x v="0"/>
    <n v="2019"/>
    <s v="June"/>
    <d v="2019-06-01T00:00:00"/>
    <n v="139.54615384615386"/>
    <n v="164.9"/>
    <n v="145.46666666666667"/>
    <n v="141.19999999999999"/>
    <n v="145.60000000000002"/>
    <n v="124.6"/>
    <n v="139.6"/>
    <n v="152.5"/>
    <n v="134.30000000000001"/>
    <n v="138.6"/>
    <n v="142.9"/>
    <n v="142.63128205128203"/>
    <x v="0"/>
  </r>
  <r>
    <x v="0"/>
    <n v="2019"/>
    <s v="July"/>
    <d v="2019-07-01T00:00:00"/>
    <n v="141.34615384615384"/>
    <n v="165.2"/>
    <n v="145.66666666666666"/>
    <n v="139.30000000000001"/>
    <n v="146.05000000000001"/>
    <n v="125.6"/>
    <n v="140.5"/>
    <n v="154"/>
    <n v="135.69999999999999"/>
    <n v="139.5"/>
    <n v="144.19999999999999"/>
    <n v="143.28628205128206"/>
    <x v="0"/>
  </r>
  <r>
    <x v="0"/>
    <n v="2019"/>
    <s v="August"/>
    <d v="2019-08-01T00:00:00"/>
    <n v="142.03846153846155"/>
    <n v="165.8"/>
    <n v="145.86666666666667"/>
    <n v="138.5"/>
    <n v="146.5"/>
    <n v="125.8"/>
    <n v="140.9"/>
    <n v="154.9"/>
    <n v="138.4"/>
    <n v="140.19999999999999"/>
    <n v="145"/>
    <n v="143.89051282051281"/>
    <x v="0"/>
  </r>
  <r>
    <x v="0"/>
    <n v="2019"/>
    <s v="September"/>
    <d v="2019-09-01T00:00:00"/>
    <n v="142.89999999999998"/>
    <n v="166.5"/>
    <n v="145.89999999999998"/>
    <n v="139.19999999999999"/>
    <n v="146.80000000000001"/>
    <n v="126.1"/>
    <n v="141.30000000000001"/>
    <n v="155.19999999999999"/>
    <n v="139.69999999999999"/>
    <n v="140.69999999999999"/>
    <n v="145.80000000000001"/>
    <n v="144.43"/>
    <x v="0"/>
  </r>
  <r>
    <x v="0"/>
    <n v="2019"/>
    <s v="October"/>
    <d v="2019-10-01T00:00:00"/>
    <n v="145.04615384615383"/>
    <n v="167.1"/>
    <n v="146.13333333333335"/>
    <n v="140.6"/>
    <n v="147.19999999999999"/>
    <n v="126.3"/>
    <n v="141.69999999999999"/>
    <n v="155.4"/>
    <n v="140"/>
    <n v="141"/>
    <n v="147.19999999999999"/>
    <n v="145.04794871794871"/>
    <x v="0"/>
  </r>
  <r>
    <x v="0"/>
    <n v="2019"/>
    <s v="November"/>
    <d v="2019-11-01T00:00:00"/>
    <n v="146.99230769230769"/>
    <n v="167.9"/>
    <n v="146.5"/>
    <n v="142.30000000000001"/>
    <n v="147.60000000000002"/>
    <n v="126.6"/>
    <n v="142.1"/>
    <n v="155.5"/>
    <n v="140.30000000000001"/>
    <n v="141.30000000000001"/>
    <n v="148.6"/>
    <n v="145.70923076923077"/>
    <x v="0"/>
  </r>
  <r>
    <x v="0"/>
    <n v="2019"/>
    <s v="December"/>
    <d v="2019-12-01T00:00:00"/>
    <n v="149.70000000000002"/>
    <n v="168.5"/>
    <n v="146.86666666666667"/>
    <n v="143.69999999999999"/>
    <n v="148.10000000000002"/>
    <n v="129.80000000000001"/>
    <n v="142.30000000000001"/>
    <n v="155.69999999999999"/>
    <n v="140.4"/>
    <n v="142.5"/>
    <n v="150.4"/>
    <n v="146.75666666666669"/>
    <x v="0"/>
  </r>
  <r>
    <x v="0"/>
    <n v="2020"/>
    <s v="January"/>
    <d v="2020-01-01T00:00:00"/>
    <n v="149.26153846153846"/>
    <n v="169.2"/>
    <n v="147.06666666666666"/>
    <n v="144.6"/>
    <n v="148.69999999999999"/>
    <n v="130.9"/>
    <n v="142.80000000000001"/>
    <n v="156.1"/>
    <n v="142.30000000000001"/>
    <n v="143.4"/>
    <n v="150.19999999999999"/>
    <n v="147.43282051282051"/>
    <x v="0"/>
  </r>
  <r>
    <x v="0"/>
    <n v="2020"/>
    <s v="February"/>
    <d v="2020-02-01T00:00:00"/>
    <n v="147.04615384615383"/>
    <n v="170.1"/>
    <n v="147.33333333333334"/>
    <n v="147.19999999999999"/>
    <n v="149.05000000000001"/>
    <n v="130.30000000000001"/>
    <n v="143.19999999999999"/>
    <n v="156.19999999999999"/>
    <n v="143.4"/>
    <n v="143.6"/>
    <n v="149.1"/>
    <n v="147.74294871794871"/>
    <x v="0"/>
  </r>
  <r>
    <x v="0"/>
    <n v="2020"/>
    <s v="March"/>
    <d v="2020-03-01T00:00:00"/>
    <n v="145.80000000000001"/>
    <n v="171.2"/>
    <n v="147.63333333333335"/>
    <n v="148.9"/>
    <n v="149.35000000000002"/>
    <n v="129.9"/>
    <n v="143.69999999999999"/>
    <n v="156.1"/>
    <n v="145.19999999999999"/>
    <n v="143.80000000000001"/>
    <n v="148.6"/>
    <n v="148.15833333333333"/>
    <x v="1"/>
  </r>
  <r>
    <x v="0"/>
    <n v="2020"/>
    <s v="April"/>
    <d v="2020-04-01T00:00:00"/>
    <n v="147.92307692307691"/>
    <n v="152.80000000000001"/>
    <n v="137.63333333333335"/>
    <n v="144.1"/>
    <n v="142.55000000000001"/>
    <n v="125.1"/>
    <n v="131.69999999999999"/>
    <n v="138.80000000000001"/>
    <n v="131.1"/>
    <n v="132"/>
    <n v="137.30000000000001"/>
    <n v="138.37064102564102"/>
    <x v="1"/>
  </r>
  <r>
    <x v="0"/>
    <n v="2020"/>
    <s v="May"/>
    <d v="2020-05-01T00:00:00"/>
    <n v="139.03076923076921"/>
    <n v="152.80000000000001"/>
    <n v="137.63333333333335"/>
    <n v="135.4"/>
    <n v="135.85000000000002"/>
    <n v="125.1"/>
    <n v="131.69999999999999"/>
    <n v="138.80000000000001"/>
    <n v="131.1"/>
    <n v="132"/>
    <n v="137.30000000000001"/>
    <n v="135.94141025641025"/>
    <x v="1"/>
  </r>
  <r>
    <x v="0"/>
    <n v="2020"/>
    <s v="June"/>
    <d v="2020-06-01T00:00:00"/>
    <n v="151.2923076923077"/>
    <n v="183.5"/>
    <n v="149.43333333333331"/>
    <n v="141.9"/>
    <n v="150.4"/>
    <n v="135"/>
    <n v="148.30000000000001"/>
    <n v="156.4"/>
    <n v="151.6"/>
    <n v="147"/>
    <n v="151.80000000000001"/>
    <n v="151.48256410256411"/>
    <x v="1"/>
  </r>
  <r>
    <x v="0"/>
    <n v="2020"/>
    <s v="July"/>
    <d v="2020-07-01T00:00:00"/>
    <n v="151.2923076923077"/>
    <n v="183.5"/>
    <n v="149.43333333333331"/>
    <n v="141.9"/>
    <n v="150.4"/>
    <n v="135"/>
    <n v="148.30000000000001"/>
    <n v="156.4"/>
    <n v="151.6"/>
    <n v="147"/>
    <n v="151.80000000000001"/>
    <n v="151.48256410256411"/>
    <x v="1"/>
  </r>
  <r>
    <x v="0"/>
    <n v="2020"/>
    <s v="August"/>
    <d v="2020-08-01T00:00:00"/>
    <n v="153.47692307692307"/>
    <n v="182.6"/>
    <n v="149.4"/>
    <n v="143"/>
    <n v="151.69999999999999"/>
    <n v="138.5"/>
    <n v="146"/>
    <n v="158.5"/>
    <n v="154.30000000000001"/>
    <n v="149"/>
    <n v="153.9"/>
    <n v="152.6476923076923"/>
    <x v="1"/>
  </r>
  <r>
    <x v="0"/>
    <n v="2020"/>
    <s v="September"/>
    <d v="2020-09-01T00:00:00"/>
    <n v="154.38461538461539"/>
    <n v="184.4"/>
    <n v="149.9"/>
    <n v="142.9"/>
    <n v="152.14999999999998"/>
    <n v="139.6"/>
    <n v="146.6"/>
    <n v="157.5"/>
    <n v="158.4"/>
    <n v="150"/>
    <n v="154.69999999999999"/>
    <n v="153.58346153846156"/>
    <x v="1"/>
  </r>
  <r>
    <x v="0"/>
    <n v="2020"/>
    <s v="October"/>
    <d v="2020-10-01T00:00:00"/>
    <n v="157.5846153846154"/>
    <n v="184.3"/>
    <n v="150.19999999999999"/>
    <n v="143.1"/>
    <n v="152.5"/>
    <n v="140.6"/>
    <n v="146.5"/>
    <n v="158.5"/>
    <n v="157"/>
    <n v="150.4"/>
    <n v="156.4"/>
    <n v="154.06846153846155"/>
    <x v="1"/>
  </r>
  <r>
    <x v="0"/>
    <n v="2020"/>
    <s v="November"/>
    <d v="2020-11-01T00:00:00"/>
    <n v="161.19999999999999"/>
    <n v="184.8"/>
    <n v="150.66666666666669"/>
    <n v="143.6"/>
    <n v="153.19999999999999"/>
    <n v="140.4"/>
    <n v="148.4"/>
    <n v="158.6"/>
    <n v="156.9"/>
    <n v="150.69999999999999"/>
    <n v="158.4"/>
    <n v="154.84666666666666"/>
    <x v="1"/>
  </r>
  <r>
    <x v="0"/>
    <n v="2020"/>
    <s v="December"/>
    <d v="2020-12-01T00:00:00"/>
    <n v="162.23846153846154"/>
    <n v="185.4"/>
    <n v="151.33333333333334"/>
    <n v="144.6"/>
    <n v="154"/>
    <n v="140.69999999999999"/>
    <n v="148.5"/>
    <n v="159.4"/>
    <n v="157.1"/>
    <n v="151.19999999999999"/>
    <n v="158.9"/>
    <n v="155.44717948717951"/>
    <x v="1"/>
  </r>
  <r>
    <x v="0"/>
    <n v="2021"/>
    <s v="January"/>
    <d v="2021-01-01T00:00:00"/>
    <n v="159.73076923076923"/>
    <n v="186.5"/>
    <n v="151.93333333333334"/>
    <n v="147.9"/>
    <n v="154.65"/>
    <n v="141.9"/>
    <n v="149.6"/>
    <n v="159.19999999999999"/>
    <n v="156.80000000000001"/>
    <n v="151.9"/>
    <n v="157.30000000000001"/>
    <n v="156.01141025641024"/>
    <x v="1"/>
  </r>
  <r>
    <x v="0"/>
    <n v="2021"/>
    <s v="February"/>
    <d v="2021-02-01T00:00:00"/>
    <n v="156.8692307692308"/>
    <n v="188.3"/>
    <n v="153.46666666666667"/>
    <n v="152.4"/>
    <n v="156.10000000000002"/>
    <n v="145.1"/>
    <n v="151.5"/>
    <n v="159.5"/>
    <n v="155.80000000000001"/>
    <n v="153.4"/>
    <n v="156.6"/>
    <n v="157.24358974358978"/>
    <x v="1"/>
  </r>
  <r>
    <x v="0"/>
    <n v="2021"/>
    <s v="March"/>
    <d v="2021-03-01T00:00:00"/>
    <n v="156.87692307692308"/>
    <n v="188.1"/>
    <n v="154.03333333333333"/>
    <n v="155.5"/>
    <n v="156.44999999999999"/>
    <n v="146.19999999999999"/>
    <n v="152.6"/>
    <n v="160.19999999999999"/>
    <n v="153.80000000000001"/>
    <n v="153.80000000000001"/>
    <n v="156.80000000000001"/>
    <n v="157.75602564102562"/>
    <x v="1"/>
  </r>
  <r>
    <x v="0"/>
    <n v="2021"/>
    <s v="April"/>
    <d v="2021-04-01T00:00:00"/>
    <n v="158.77692307692308"/>
    <n v="188.8"/>
    <n v="154.86666666666667"/>
    <n v="155.6"/>
    <n v="157.05000000000001"/>
    <n v="146.6"/>
    <n v="153.19999999999999"/>
    <n v="160.30000000000001"/>
    <n v="155.4"/>
    <n v="154.4"/>
    <n v="157.80000000000001"/>
    <n v="158.49935897435898"/>
    <x v="1"/>
  </r>
  <r>
    <x v="0"/>
    <n v="2021"/>
    <s v="May"/>
    <d v="2021-05-01T00:00:00"/>
    <n v="161.9769230769231"/>
    <n v="191.9"/>
    <n v="158.1"/>
    <n v="159.4"/>
    <n v="160.25"/>
    <n v="148.9"/>
    <n v="155.80000000000001"/>
    <n v="161.19999999999999"/>
    <n v="158.6"/>
    <n v="156.80000000000001"/>
    <n v="160.4"/>
    <n v="161.29269230769231"/>
    <x v="1"/>
  </r>
  <r>
    <x v="0"/>
    <n v="2021"/>
    <s v="June"/>
    <d v="2021-06-01T00:00:00"/>
    <n v="164.14615384615385"/>
    <n v="190.8"/>
    <n v="158.23333333333332"/>
    <n v="159.80000000000001"/>
    <n v="160.55000000000001"/>
    <n v="150.69999999999999"/>
    <n v="154.9"/>
    <n v="161.69999999999999"/>
    <n v="158.80000000000001"/>
    <n v="157.6"/>
    <n v="161.30000000000001"/>
    <n v="161.72294871794873"/>
    <x v="1"/>
  </r>
  <r>
    <x v="0"/>
    <n v="2021"/>
    <s v="July"/>
    <d v="2021-07-01T00:00:00"/>
    <n v="165.15384615384616"/>
    <n v="191.2"/>
    <n v="159.1"/>
    <n v="160.69999999999999"/>
    <n v="161.4"/>
    <n v="153.1"/>
    <n v="155.30000000000001"/>
    <n v="163.19999999999999"/>
    <n v="160.1"/>
    <n v="159"/>
    <n v="162.5"/>
    <n v="162.82538461538462"/>
    <x v="1"/>
  </r>
  <r>
    <x v="0"/>
    <n v="2021"/>
    <s v="August"/>
    <d v="2021-08-01T00:00:00"/>
    <n v="164.76923076923077"/>
    <n v="192.1"/>
    <n v="161"/>
    <n v="162.6"/>
    <n v="162.94999999999999"/>
    <n v="154"/>
    <n v="157.6"/>
    <n v="163.80000000000001"/>
    <n v="160"/>
    <n v="160"/>
    <n v="163.19999999999999"/>
    <n v="163.88192307692307"/>
    <x v="1"/>
  </r>
  <r>
    <x v="0"/>
    <n v="2021"/>
    <s v="September"/>
    <d v="2021-09-01T00:00:00"/>
    <n v="164.76923076923077"/>
    <n v="192.1"/>
    <n v="161.06666666666666"/>
    <n v="162.6"/>
    <n v="162.94999999999999"/>
    <n v="154"/>
    <n v="157.69999999999999"/>
    <n v="163.69999999999999"/>
    <n v="160"/>
    <n v="160"/>
    <n v="163.19999999999999"/>
    <n v="163.88858974358976"/>
    <x v="1"/>
  </r>
  <r>
    <x v="0"/>
    <n v="2021"/>
    <s v="October"/>
    <d v="2021-10-01T00:00:00"/>
    <n v="167.34615384615384"/>
    <n v="192.7"/>
    <n v="162.1"/>
    <n v="164.2"/>
    <n v="163.75"/>
    <n v="155.69999999999999"/>
    <n v="158.6"/>
    <n v="163.9"/>
    <n v="160.80000000000001"/>
    <n v="161"/>
    <n v="165.5"/>
    <n v="165.00961538461539"/>
    <x v="1"/>
  </r>
  <r>
    <x v="0"/>
    <n v="2021"/>
    <s v="November"/>
    <d v="2021-11-01T00:00:00"/>
    <n v="168.77692307692308"/>
    <n v="192.9"/>
    <n v="163.46666666666667"/>
    <n v="163.9"/>
    <n v="164.60000000000002"/>
    <n v="154.80000000000001"/>
    <n v="159.80000000000001"/>
    <n v="164.3"/>
    <n v="162.19999999999999"/>
    <n v="161.4"/>
    <n v="166.7"/>
    <n v="165.61435897435899"/>
    <x v="1"/>
  </r>
  <r>
    <x v="0"/>
    <n v="2021"/>
    <s v="December"/>
    <d v="2021-12-01T00:00:00"/>
    <n v="167.76153846153846"/>
    <n v="192.4"/>
    <n v="164.73333333333332"/>
    <n v="164.1"/>
    <n v="165.39999999999998"/>
    <n v="155.69999999999999"/>
    <n v="160.6"/>
    <n v="164.4"/>
    <n v="162.6"/>
    <n v="162"/>
    <n v="166.2"/>
    <n v="165.96948717948717"/>
    <x v="1"/>
  </r>
  <r>
    <x v="0"/>
    <n v="2022"/>
    <s v="January"/>
    <d v="2022-01-01T00:00:00"/>
    <n v="166.47692307692307"/>
    <n v="192.2"/>
    <n v="166.36666666666667"/>
    <n v="164.2"/>
    <n v="166.25"/>
    <n v="156.5"/>
    <n v="161.19999999999999"/>
    <n v="164.7"/>
    <n v="163"/>
    <n v="162.69999999999999"/>
    <n v="165.7"/>
    <n v="166.359358974359"/>
    <x v="1"/>
  </r>
  <r>
    <x v="0"/>
    <n v="2022"/>
    <s v="February"/>
    <d v="2022-02-01T00:00:00"/>
    <n v="166.24615384615387"/>
    <n v="192.8"/>
    <n v="167.60000000000002"/>
    <n v="165.7"/>
    <n v="167"/>
    <n v="156.9"/>
    <n v="162.1"/>
    <n v="165.4"/>
    <n v="164.4"/>
    <n v="163.5"/>
    <n v="166.1"/>
    <n v="167.16461538461539"/>
    <x v="1"/>
  </r>
  <r>
    <x v="0"/>
    <n v="2022"/>
    <s v="March"/>
    <d v="2022-03-01T00:00:00"/>
    <n v="168.01538461538465"/>
    <n v="193.7"/>
    <n v="169.26666666666665"/>
    <n v="167.2"/>
    <n v="167.9"/>
    <n v="157.9"/>
    <n v="163.30000000000001"/>
    <n v="166"/>
    <n v="167.2"/>
    <n v="164.6"/>
    <n v="167.7"/>
    <n v="168.50820512820513"/>
    <x v="1"/>
  </r>
  <r>
    <x v="0"/>
    <n v="2022"/>
    <s v="April"/>
    <d v="2022-04-01T00:00:00"/>
    <n v="170.33076923076925"/>
    <n v="193.9"/>
    <n v="171.06666666666669"/>
    <n v="172.2"/>
    <n v="169"/>
    <n v="162.6"/>
    <n v="164.4"/>
    <n v="166.9"/>
    <n v="168.8"/>
    <n v="166.8"/>
    <n v="170.1"/>
    <n v="170.59974358974358"/>
    <x v="1"/>
  </r>
  <r>
    <x v="0"/>
    <n v="2022"/>
    <s v="May"/>
    <d v="2022-05-01T00:00:00"/>
    <n v="172.22307692307697"/>
    <n v="194.1"/>
    <n v="172.86666666666667"/>
    <n v="174.6"/>
    <n v="170"/>
    <n v="163"/>
    <n v="165.1"/>
    <n v="167.9"/>
    <n v="168.4"/>
    <n v="167.5"/>
    <n v="171.7"/>
    <n v="171.56897435897437"/>
    <x v="1"/>
  </r>
  <r>
    <x v="0"/>
    <n v="2022"/>
    <s v="June"/>
    <d v="2022-06-01T00:00:00"/>
    <n v="173.99230769230769"/>
    <n v="194.3"/>
    <n v="174.33333333333334"/>
    <n v="176"/>
    <n v="170.9"/>
    <n v="161.1"/>
    <n v="165.8"/>
    <n v="169"/>
    <n v="169.4"/>
    <n v="167.5"/>
    <n v="172.6"/>
    <n v="172.23256410256411"/>
    <x v="1"/>
  </r>
  <r>
    <x v="0"/>
    <n v="2022"/>
    <s v="July"/>
    <d v="2022-07-01T00:00:00"/>
    <n v="174.33076923076925"/>
    <n v="194.6"/>
    <n v="175.63333333333335"/>
    <n v="179.6"/>
    <n v="171.75"/>
    <n v="161.6"/>
    <n v="166.3"/>
    <n v="171.4"/>
    <n v="169.7"/>
    <n v="168.4"/>
    <n v="173.4"/>
    <n v="173.33141025641027"/>
    <x v="1"/>
  </r>
  <r>
    <x v="0"/>
    <n v="2022"/>
    <s v="August"/>
    <d v="2022-08-01T00:00:00"/>
    <n v="174.55384615384617"/>
    <n v="195"/>
    <n v="176.9"/>
    <n v="178.8"/>
    <n v="172.65"/>
    <n v="161.9"/>
    <n v="166.9"/>
    <n v="172.3"/>
    <n v="171.2"/>
    <n v="169.1"/>
    <n v="174.3"/>
    <n v="173.93038461538461"/>
    <x v="1"/>
  </r>
  <r>
    <x v="0"/>
    <n v="2022"/>
    <s v="September"/>
    <d v="2022-09-01T00:00:00"/>
    <n v="175.45384615384617"/>
    <n v="195.9"/>
    <n v="178.36666666666667"/>
    <n v="179.5"/>
    <n v="173.65"/>
    <n v="162.30000000000001"/>
    <n v="167.6"/>
    <n v="173.1"/>
    <n v="170.9"/>
    <n v="169.7"/>
    <n v="175.3"/>
    <n v="174.64705128205128"/>
    <x v="1"/>
  </r>
  <r>
    <x v="0"/>
    <n v="2022"/>
    <s v="October"/>
    <d v="2022-10-01T00:00:00"/>
    <n v="176.71538461538464"/>
    <n v="196.3"/>
    <n v="179.4"/>
    <n v="180.5"/>
    <n v="174.55"/>
    <n v="162.9"/>
    <n v="168.2"/>
    <n v="173.4"/>
    <n v="172.1"/>
    <n v="170.5"/>
    <n v="176.7"/>
    <n v="175.45653846153849"/>
    <x v="1"/>
  </r>
  <r>
    <x v="0"/>
    <n v="2022"/>
    <s v="November"/>
    <d v="2022-11-01T00:00:00"/>
    <n v="176.67692307692309"/>
    <n v="196.9"/>
    <n v="180.46666666666667"/>
    <n v="181.3"/>
    <n v="175.60000000000002"/>
    <n v="163"/>
    <n v="168.5"/>
    <n v="173.7"/>
    <n v="173.6"/>
    <n v="171.1"/>
    <n v="176.5"/>
    <n v="176.08435897435896"/>
    <x v="1"/>
  </r>
  <r>
    <x v="0"/>
    <n v="2022"/>
    <s v="December"/>
    <d v="2022-12-01T00:00:00"/>
    <n v="175.64615384615385"/>
    <n v="197.3"/>
    <n v="181.33333333333334"/>
    <n v="182"/>
    <n v="176.6"/>
    <n v="163.4"/>
    <n v="168.9"/>
    <n v="174.1"/>
    <n v="175.8"/>
    <n v="172"/>
    <n v="175.7"/>
    <n v="176.70794871794871"/>
    <x v="1"/>
  </r>
  <r>
    <x v="0"/>
    <n v="2023"/>
    <s v="January"/>
    <d v="2023-01-01T00:00:00"/>
    <n v="176.36153846153846"/>
    <n v="198.2"/>
    <n v="182.1"/>
    <n v="182"/>
    <n v="177.60000000000002"/>
    <n v="163.6"/>
    <n v="169.5"/>
    <n v="174.3"/>
    <n v="178.6"/>
    <n v="172.8"/>
    <n v="176.5"/>
    <n v="177.50615384615384"/>
    <x v="1"/>
  </r>
  <r>
    <x v="0"/>
    <n v="2023"/>
    <s v="February"/>
    <d v="2023-02-01T00:00:00"/>
    <n v="175.3153846153846"/>
    <n v="199.5"/>
    <n v="183.33333333333334"/>
    <n v="182.1"/>
    <n v="179.3"/>
    <n v="164.2"/>
    <n v="170.3"/>
    <n v="175"/>
    <n v="181"/>
    <n v="174.1"/>
    <n v="177.2"/>
    <n v="178.41487179487177"/>
    <x v="1"/>
  </r>
  <r>
    <x v="0"/>
    <n v="2023"/>
    <s v="March"/>
    <d v="2023-03-01T00:00:00"/>
    <n v="175.32307692307691"/>
    <n v="199.5"/>
    <n v="183.29999999999998"/>
    <n v="181.9"/>
    <n v="179.3"/>
    <n v="164.2"/>
    <n v="170.3"/>
    <n v="175"/>
    <n v="181"/>
    <n v="174.1"/>
    <n v="177.2"/>
    <n v="178.39230769230767"/>
    <x v="1"/>
  </r>
  <r>
    <x v="0"/>
    <n v="2023"/>
    <s v="April"/>
    <d v="2023-04-01T00:00:00"/>
    <n v="176.12307692307695"/>
    <n v="200.6"/>
    <n v="183.93333333333331"/>
    <n v="181.7"/>
    <n v="179.8"/>
    <n v="164.5"/>
    <n v="170.7"/>
    <n v="176.4"/>
    <n v="184"/>
    <n v="175"/>
    <n v="178.1"/>
    <n v="179.27564102564105"/>
    <x v="1"/>
  </r>
  <r>
    <x v="0"/>
    <n v="2023"/>
    <s v="May"/>
    <d v="2023-05-01T00:00:00"/>
    <n v="177.45384615384617"/>
    <n v="201"/>
    <n v="184.4"/>
    <n v="182.8"/>
    <n v="180.45"/>
    <n v="164.8"/>
    <n v="171.2"/>
    <n v="177.1"/>
    <n v="185.2"/>
    <n v="175.7"/>
    <n v="179.1"/>
    <n v="180.0103846153846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F70EBD-9582-4806-BB01-04C61A3C4F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4">
    <pivotField showAll="0"/>
    <pivotField axis="axisRow" showAll="0" sortType="ascending">
      <items count="12">
        <item h="1" x="0"/>
        <item h="1" x="1"/>
        <item h="1" x="2"/>
        <item h="1" x="3"/>
        <item x="4"/>
        <item x="5"/>
        <item x="6"/>
        <item x="7"/>
        <item x="8"/>
        <item x="9"/>
        <item x="10"/>
        <item t="default"/>
      </items>
    </pivotField>
    <pivotField showAll="0"/>
    <pivotField dataField="1" showAll="0"/>
  </pivotFields>
  <rowFields count="1">
    <field x="1"/>
  </rowFields>
  <rowItems count="8">
    <i>
      <x v="4"/>
    </i>
    <i>
      <x v="5"/>
    </i>
    <i>
      <x v="6"/>
    </i>
    <i>
      <x v="7"/>
    </i>
    <i>
      <x v="8"/>
    </i>
    <i>
      <x v="9"/>
    </i>
    <i>
      <x v="10"/>
    </i>
    <i t="grand">
      <x/>
    </i>
  </rowItems>
  <colItems count="1">
    <i/>
  </colItems>
  <dataFields count="1">
    <dataField name="Average of General index" fld="3" subtotal="average" baseField="1" baseItem="0"/>
  </dataFields>
  <formats count="2">
    <format dxfId="1">
      <pivotArea collapsedLevelsAreSubtotals="1" fieldPosition="0">
        <references count="1">
          <reference field="1" count="0"/>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4E6994-1355-4D81-BD70-28EE13F34A84}" name="PivotTable8" cacheId="1"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D11" firstHeaderRow="1" firstDataRow="2" firstDataCol="1"/>
  <pivotFields count="17">
    <pivotField axis="axisRow" showAll="0">
      <items count="2">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dataField="1" showAll="0"/>
    <pivotField showAll="0"/>
    <pivotField axis="axisCol" showAll="0">
      <items count="3">
        <item x="1"/>
        <item x="0"/>
        <item t="default"/>
      </items>
    </pivotField>
  </pivotFields>
  <rowFields count="2">
    <field x="0"/>
    <field x="-2"/>
  </rowFields>
  <rowItems count="7">
    <i>
      <x/>
    </i>
    <i r="1">
      <x/>
    </i>
    <i r="1" i="1">
      <x v="1"/>
    </i>
    <i r="1" i="2">
      <x v="2"/>
    </i>
    <i t="grand">
      <x/>
    </i>
    <i t="grand" i="1">
      <x/>
    </i>
    <i t="grand" i="2">
      <x/>
    </i>
  </rowItems>
  <colFields count="1">
    <field x="16"/>
  </colFields>
  <colItems count="3">
    <i>
      <x/>
    </i>
    <i>
      <x v="1"/>
    </i>
    <i t="grand">
      <x/>
    </i>
  </colItems>
  <dataFields count="3">
    <dataField name="Average of Food" fld="4" subtotal="average" baseField="0" baseItem="0"/>
    <dataField name="Average of Personal Care" fld="12" subtotal="average" baseField="0" baseItem="0"/>
    <dataField name="Average of General Index" fld="14" subtotal="average" baseField="0" baseItem="0"/>
  </dataFields>
  <chartFormats count="2">
    <chartFormat chart="3" format="0" series="1">
      <pivotArea type="data" outline="0" fieldPosition="0">
        <references count="2">
          <reference field="4294967294" count="1" selected="0">
            <x v="0"/>
          </reference>
          <reference field="16" count="1" selected="0">
            <x v="0"/>
          </reference>
        </references>
      </pivotArea>
    </chartFormat>
    <chartFormat chart="3" format="1"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7A0B39-9D4B-4B5A-B1BB-5DDFE595B44E}"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C1894A-F375-4B52-B812-F17F825088A6}" name="All_India_Index_Upto_April23__1___1" displayName="All_India_Index_Upto_April23__1___1" ref="A3:AD375" tableType="queryTable" totalsRowShown="0">
  <autoFilter ref="A3:AD375" xr:uid="{B8C1894A-F375-4B52-B812-F17F825088A6}"/>
  <tableColumns count="30">
    <tableColumn id="1" xr3:uid="{9B12BE6E-2D3B-4893-B2A1-B9E37E1171AE}" uniqueName="1" name="Sector" queryTableFieldId="1" dataDxfId="31"/>
    <tableColumn id="2" xr3:uid="{9B4C7D0C-0427-419A-81F4-6B37FC488BB6}" uniqueName="2" name="Year" queryTableFieldId="2" dataDxfId="30"/>
    <tableColumn id="3" xr3:uid="{53D1C826-472E-4675-B6E4-4E5EAFBB11BC}" uniqueName="3" name="Month" queryTableFieldId="3" dataDxfId="29"/>
    <tableColumn id="4" xr3:uid="{479FF7D1-C955-413B-9A19-8D90D85EF179}" uniqueName="4" name="Cereals and products" queryTableFieldId="4" dataDxfId="28"/>
    <tableColumn id="5" xr3:uid="{BA831788-518E-4FB8-B6BC-33D2591C8C47}" uniqueName="5" name="Meat and fish" queryTableFieldId="5" dataDxfId="27"/>
    <tableColumn id="6" xr3:uid="{A3D38FDB-42A9-449F-848C-A9C046B1CC7B}" uniqueName="6" name="Egg" queryTableFieldId="6" dataDxfId="26"/>
    <tableColumn id="7" xr3:uid="{63755080-2EA1-48A7-9D1E-A723CF9A0F83}" uniqueName="7" name="Milk and products" queryTableFieldId="7" dataDxfId="25"/>
    <tableColumn id="8" xr3:uid="{82F07C85-38D1-4271-AF3D-8C1EE9D6D379}" uniqueName="8" name="Oils and fats" queryTableFieldId="8" dataDxfId="24"/>
    <tableColumn id="9" xr3:uid="{51BA3472-2E3C-4141-996E-B6B7B3E407C3}" uniqueName="9" name="Fruits" queryTableFieldId="9" dataDxfId="23"/>
    <tableColumn id="10" xr3:uid="{ED2E02C5-7C85-420C-A5D7-7C497C8D9523}" uniqueName="10" name="Vegetables" queryTableFieldId="10" dataDxfId="22"/>
    <tableColumn id="11" xr3:uid="{173EE43C-DCD1-42B5-8EBD-AC22F8E820B1}" uniqueName="11" name="Pulses and products" queryTableFieldId="11" dataDxfId="21"/>
    <tableColumn id="12" xr3:uid="{B67961FC-FF56-49C8-A679-01A39BCDE336}" uniqueName="12" name="Sugar and Confectionery" queryTableFieldId="12" dataDxfId="20"/>
    <tableColumn id="13" xr3:uid="{8CC03D4B-609F-404E-831C-EEABA3CDE73E}" uniqueName="13" name="Spices" queryTableFieldId="13" dataDxfId="19"/>
    <tableColumn id="14" xr3:uid="{7BDC41D3-712A-43E5-9BF3-898AD1BC5032}" uniqueName="14" name="Non-alcoholic beverages" queryTableFieldId="14" dataDxfId="18"/>
    <tableColumn id="15" xr3:uid="{05AB4D54-7E35-47B0-938D-B26C5486DAD0}" uniqueName="15" name="Prepared meals, snacks, sweets etc." queryTableFieldId="15" dataDxfId="17"/>
    <tableColumn id="16" xr3:uid="{4A8ACD39-96E5-48F8-AA0A-8D40923A1322}" uniqueName="16" name="Food and beverages" queryTableFieldId="16" dataDxfId="16"/>
    <tableColumn id="17" xr3:uid="{ECCA4623-0166-4CB3-8A80-BFC7654EF993}" uniqueName="17" name="Pan, tobacco and intoxicants" queryTableFieldId="17" dataDxfId="15"/>
    <tableColumn id="18" xr3:uid="{5EBEFD39-DF2E-45CA-9A07-421138F1547F}" uniqueName="18" name="Clothing" queryTableFieldId="18" dataDxfId="14"/>
    <tableColumn id="19" xr3:uid="{F64F6ADB-65E1-4DC2-B390-20569358E665}" uniqueName="19" name="Footwear" queryTableFieldId="19" dataDxfId="13"/>
    <tableColumn id="20" xr3:uid="{29BA1693-8C76-48C6-8A6C-0CC9DEE20CD1}" uniqueName="20" name="Clothing and footwear" queryTableFieldId="20" dataDxfId="12"/>
    <tableColumn id="21" xr3:uid="{BDB10889-BF67-4BF4-89AC-7FC03AF9852C}" uniqueName="21" name="Housing" queryTableFieldId="21" dataDxfId="11"/>
    <tableColumn id="22" xr3:uid="{2489594D-AF98-41BA-B5EF-5EB57DFEC69C}" uniqueName="22" name="Fuel and light" queryTableFieldId="22" dataDxfId="10"/>
    <tableColumn id="23" xr3:uid="{A6225AC6-6148-4B13-8967-45A829118DAF}" uniqueName="23" name="Household goods and services" queryTableFieldId="23" dataDxfId="9"/>
    <tableColumn id="24" xr3:uid="{8A73FB5A-BFCD-4920-83B8-E381A10F9269}" uniqueName="24" name="Health" queryTableFieldId="24" dataDxfId="8"/>
    <tableColumn id="25" xr3:uid="{C73C117A-27FC-465A-A938-26A7A8B15261}" uniqueName="25" name="Transport and communication" queryTableFieldId="25" dataDxfId="7"/>
    <tableColumn id="26" xr3:uid="{369BF744-31AC-4E36-9455-D9EF86D35149}" uniqueName="26" name="Recreation and amusement" queryTableFieldId="26" dataDxfId="6"/>
    <tableColumn id="27" xr3:uid="{1352D0A6-7264-4C06-BFD1-390A80509957}" uniqueName="27" name="Education" queryTableFieldId="27" dataDxfId="5"/>
    <tableColumn id="28" xr3:uid="{BC641B9C-74A0-48E6-9356-2CF744D21128}" uniqueName="28" name="Personal care and effects" queryTableFieldId="28" dataDxfId="4"/>
    <tableColumn id="29" xr3:uid="{D81ACE19-F43E-4903-B689-2C9D13CECFC8}" uniqueName="29" name="Miscellaneous" queryTableFieldId="29" dataDxfId="3"/>
    <tableColumn id="30" xr3:uid="{98AAA6D2-B6DF-4642-8815-50B55955F969}" uniqueName="30" name="General index" queryTableFieldId="30"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99409-F92E-4EC5-AAB4-49428CBBF274}">
  <dimension ref="A1:AD375"/>
  <sheetViews>
    <sheetView tabSelected="1" workbookViewId="0">
      <selection activeCell="A3" sqref="A3"/>
    </sheetView>
  </sheetViews>
  <sheetFormatPr defaultRowHeight="14.4" x14ac:dyDescent="0.3"/>
  <cols>
    <col min="1" max="1" width="11.88671875" bestFit="1" customWidth="1"/>
    <col min="2" max="2" width="7.33203125" bestFit="1" customWidth="1"/>
    <col min="3" max="3" width="10.88671875" bestFit="1" customWidth="1"/>
    <col min="4" max="4" width="22" bestFit="1" customWidth="1"/>
    <col min="5" max="5" width="15.5546875" bestFit="1" customWidth="1"/>
    <col min="6" max="6" width="6.33203125" bestFit="1" customWidth="1"/>
    <col min="7" max="7" width="19.33203125" bestFit="1" customWidth="1"/>
    <col min="8" max="8" width="14.109375" bestFit="1" customWidth="1"/>
    <col min="9" max="9" width="8.33203125" bestFit="1" customWidth="1"/>
    <col min="10" max="10" width="13.33203125" bestFit="1" customWidth="1"/>
    <col min="11" max="11" width="21.109375" bestFit="1" customWidth="1"/>
    <col min="12" max="12" width="25.33203125" bestFit="1" customWidth="1"/>
    <col min="13" max="13" width="8.88671875" bestFit="1" customWidth="1"/>
    <col min="14" max="14" width="25.5546875" bestFit="1" customWidth="1"/>
    <col min="15" max="15" width="35.5546875" bestFit="1" customWidth="1"/>
    <col min="16" max="16" width="21.33203125" bestFit="1" customWidth="1"/>
    <col min="17" max="17" width="28.88671875" bestFit="1" customWidth="1"/>
    <col min="18" max="18" width="10.6640625" bestFit="1" customWidth="1"/>
    <col min="19" max="19" width="11.6640625" bestFit="1" customWidth="1"/>
    <col min="20" max="20" width="23.33203125" bestFit="1" customWidth="1"/>
    <col min="21" max="21" width="10.44140625" bestFit="1" customWidth="1"/>
    <col min="22" max="22" width="15.44140625" bestFit="1" customWidth="1"/>
    <col min="23" max="23" width="30.44140625" bestFit="1" customWidth="1"/>
    <col min="25" max="25" width="30.109375" bestFit="1" customWidth="1"/>
    <col min="26" max="26" width="28.109375" bestFit="1" customWidth="1"/>
    <col min="27" max="27" width="12" bestFit="1" customWidth="1"/>
    <col min="28" max="28" width="25.88671875" bestFit="1" customWidth="1"/>
    <col min="29" max="29" width="16.33203125" bestFit="1" customWidth="1"/>
    <col min="30" max="30" width="16" bestFit="1" customWidth="1"/>
  </cols>
  <sheetData>
    <row r="1" spans="1:30" x14ac:dyDescent="0.3">
      <c r="D1" s="34" t="s">
        <v>165</v>
      </c>
      <c r="E1" s="35"/>
      <c r="F1" s="35"/>
      <c r="G1" s="35"/>
      <c r="H1" s="35"/>
      <c r="I1" s="35"/>
      <c r="J1" s="35"/>
      <c r="K1" s="35"/>
      <c r="L1" s="35"/>
      <c r="M1" s="35"/>
      <c r="N1" s="35"/>
      <c r="O1" s="35"/>
      <c r="P1" s="35"/>
      <c r="Q1" s="39" t="s">
        <v>168</v>
      </c>
      <c r="R1" s="36" t="s">
        <v>18</v>
      </c>
      <c r="S1" s="36"/>
      <c r="T1" s="36"/>
      <c r="U1" s="40" t="s">
        <v>20</v>
      </c>
      <c r="V1" s="40"/>
      <c r="W1" s="41" t="s">
        <v>169</v>
      </c>
      <c r="X1" s="41"/>
      <c r="Y1" s="37" t="s">
        <v>166</v>
      </c>
      <c r="Z1" s="43" t="s">
        <v>170</v>
      </c>
      <c r="AA1" s="42" t="s">
        <v>26</v>
      </c>
      <c r="AB1" s="38" t="s">
        <v>167</v>
      </c>
    </row>
    <row r="2" spans="1:30" x14ac:dyDescent="0.3">
      <c r="D2" s="35"/>
      <c r="E2" s="35"/>
      <c r="F2" s="35"/>
      <c r="G2" s="35"/>
      <c r="H2" s="35"/>
      <c r="I2" s="35"/>
      <c r="J2" s="35"/>
      <c r="K2" s="35"/>
      <c r="L2" s="35"/>
      <c r="M2" s="35"/>
      <c r="N2" s="35"/>
      <c r="O2" s="35"/>
      <c r="P2" s="35"/>
      <c r="Q2" s="39"/>
      <c r="R2" s="36"/>
      <c r="S2" s="36"/>
      <c r="T2" s="36"/>
      <c r="U2" s="40"/>
      <c r="V2" s="40"/>
      <c r="W2" s="41"/>
      <c r="X2" s="41"/>
      <c r="Y2" s="37"/>
      <c r="Z2" s="43"/>
      <c r="AA2" s="42"/>
      <c r="AB2" s="38"/>
    </row>
    <row r="3" spans="1:30"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row>
    <row r="4" spans="1:30" x14ac:dyDescent="0.3">
      <c r="A4" s="1" t="s">
        <v>30</v>
      </c>
      <c r="B4" s="1">
        <v>2013</v>
      </c>
      <c r="C4" s="1" t="s">
        <v>31</v>
      </c>
      <c r="D4" s="1">
        <v>107.5</v>
      </c>
      <c r="E4" s="1">
        <v>106.3</v>
      </c>
      <c r="F4" s="1">
        <v>108.1</v>
      </c>
      <c r="G4" s="1">
        <v>104.9</v>
      </c>
      <c r="H4" s="1">
        <v>106.1</v>
      </c>
      <c r="I4" s="1">
        <v>103.9</v>
      </c>
      <c r="J4" s="1">
        <v>101.9</v>
      </c>
      <c r="K4" s="1">
        <v>106.1</v>
      </c>
      <c r="L4" s="1">
        <v>106.8</v>
      </c>
      <c r="M4" s="1">
        <v>103.1</v>
      </c>
      <c r="N4" s="1">
        <v>104.8</v>
      </c>
      <c r="O4" s="1">
        <v>106.7</v>
      </c>
      <c r="P4" s="1">
        <v>105.5</v>
      </c>
      <c r="Q4" s="1">
        <v>105.1</v>
      </c>
      <c r="R4" s="1">
        <v>106.5</v>
      </c>
      <c r="S4" s="1">
        <v>105.8</v>
      </c>
      <c r="T4" s="1">
        <v>106.4</v>
      </c>
      <c r="U4" s="1" t="s">
        <v>33</v>
      </c>
      <c r="V4" s="1">
        <v>105.5</v>
      </c>
      <c r="W4" s="1">
        <v>104.8</v>
      </c>
      <c r="X4" s="1">
        <v>104</v>
      </c>
      <c r="Y4" s="1">
        <v>103.3</v>
      </c>
      <c r="Z4" s="1">
        <v>103.4</v>
      </c>
      <c r="AA4" s="1">
        <v>103.8</v>
      </c>
      <c r="AB4" s="1">
        <v>104.7</v>
      </c>
      <c r="AC4" s="1">
        <v>104</v>
      </c>
      <c r="AD4" s="1">
        <v>105.1</v>
      </c>
    </row>
    <row r="5" spans="1:30" x14ac:dyDescent="0.3">
      <c r="A5" s="1" t="s">
        <v>32</v>
      </c>
      <c r="B5" s="1">
        <v>2013</v>
      </c>
      <c r="C5" s="1" t="s">
        <v>31</v>
      </c>
      <c r="D5" s="1">
        <v>110.5</v>
      </c>
      <c r="E5" s="1">
        <v>109.1</v>
      </c>
      <c r="F5" s="1">
        <v>113</v>
      </c>
      <c r="G5" s="1">
        <v>103.6</v>
      </c>
      <c r="H5" s="1">
        <v>103.4</v>
      </c>
      <c r="I5" s="1">
        <v>102.3</v>
      </c>
      <c r="J5" s="1">
        <v>102.9</v>
      </c>
      <c r="K5" s="1">
        <v>105.8</v>
      </c>
      <c r="L5" s="1">
        <v>105.1</v>
      </c>
      <c r="M5" s="1">
        <v>101.8</v>
      </c>
      <c r="N5" s="1">
        <v>105.1</v>
      </c>
      <c r="O5" s="1">
        <v>107.9</v>
      </c>
      <c r="P5" s="1">
        <v>105.9</v>
      </c>
      <c r="Q5" s="1">
        <v>105.2</v>
      </c>
      <c r="R5" s="1">
        <v>105.9</v>
      </c>
      <c r="S5" s="1">
        <v>105</v>
      </c>
      <c r="T5" s="1">
        <v>105.8</v>
      </c>
      <c r="U5" s="1" t="s">
        <v>33</v>
      </c>
      <c r="V5" s="1">
        <v>105.4</v>
      </c>
      <c r="W5" s="1">
        <v>104.8</v>
      </c>
      <c r="X5" s="1">
        <v>104.1</v>
      </c>
      <c r="Y5" s="1">
        <v>103.2</v>
      </c>
      <c r="Z5" s="1">
        <v>102.9</v>
      </c>
      <c r="AA5" s="1">
        <v>103.5</v>
      </c>
      <c r="AB5" s="1">
        <v>104.3</v>
      </c>
      <c r="AC5" s="1">
        <v>103.7</v>
      </c>
      <c r="AD5" s="1">
        <v>104</v>
      </c>
    </row>
    <row r="6" spans="1:30" x14ac:dyDescent="0.3">
      <c r="A6" s="1" t="s">
        <v>34</v>
      </c>
      <c r="B6" s="1">
        <v>2013</v>
      </c>
      <c r="C6" s="1" t="s">
        <v>31</v>
      </c>
      <c r="D6" s="1">
        <v>108.4</v>
      </c>
      <c r="E6" s="1">
        <v>107.3</v>
      </c>
      <c r="F6" s="1">
        <v>110</v>
      </c>
      <c r="G6" s="1">
        <v>104.4</v>
      </c>
      <c r="H6" s="1">
        <v>105.1</v>
      </c>
      <c r="I6" s="1">
        <v>103.2</v>
      </c>
      <c r="J6" s="1">
        <v>102.2</v>
      </c>
      <c r="K6" s="1">
        <v>106</v>
      </c>
      <c r="L6" s="1">
        <v>106.2</v>
      </c>
      <c r="M6" s="1">
        <v>102.7</v>
      </c>
      <c r="N6" s="1">
        <v>104.9</v>
      </c>
      <c r="O6" s="1">
        <v>107.3</v>
      </c>
      <c r="P6" s="1">
        <v>105.6</v>
      </c>
      <c r="Q6" s="1">
        <v>105.1</v>
      </c>
      <c r="R6" s="1">
        <v>106.3</v>
      </c>
      <c r="S6" s="1">
        <v>105.5</v>
      </c>
      <c r="T6" s="1">
        <v>106.2</v>
      </c>
      <c r="U6" s="1">
        <v>100.3</v>
      </c>
      <c r="V6" s="1">
        <v>105.5</v>
      </c>
      <c r="W6" s="1">
        <v>104.8</v>
      </c>
      <c r="X6" s="1">
        <v>104</v>
      </c>
      <c r="Y6" s="1">
        <v>103.2</v>
      </c>
      <c r="Z6" s="1">
        <v>103.1</v>
      </c>
      <c r="AA6" s="1">
        <v>103.6</v>
      </c>
      <c r="AB6" s="1">
        <v>104.5</v>
      </c>
      <c r="AC6" s="1">
        <v>103.9</v>
      </c>
      <c r="AD6" s="1">
        <v>104.6</v>
      </c>
    </row>
    <row r="7" spans="1:30" x14ac:dyDescent="0.3">
      <c r="A7" s="1" t="s">
        <v>30</v>
      </c>
      <c r="B7" s="1">
        <v>2013</v>
      </c>
      <c r="C7" s="1" t="s">
        <v>35</v>
      </c>
      <c r="D7" s="1">
        <v>109.2</v>
      </c>
      <c r="E7" s="1">
        <v>108.7</v>
      </c>
      <c r="F7" s="1">
        <v>110.2</v>
      </c>
      <c r="G7" s="1">
        <v>105.4</v>
      </c>
      <c r="H7" s="1">
        <v>106.7</v>
      </c>
      <c r="I7" s="1">
        <v>104</v>
      </c>
      <c r="J7" s="1">
        <v>102.4</v>
      </c>
      <c r="K7" s="1">
        <v>105.9</v>
      </c>
      <c r="L7" s="1">
        <v>105.7</v>
      </c>
      <c r="M7" s="1">
        <v>103.1</v>
      </c>
      <c r="N7" s="1">
        <v>105.1</v>
      </c>
      <c r="O7" s="1">
        <v>107.7</v>
      </c>
      <c r="P7" s="1">
        <v>106.3</v>
      </c>
      <c r="Q7" s="1">
        <v>105.6</v>
      </c>
      <c r="R7" s="1">
        <v>107.1</v>
      </c>
      <c r="S7" s="1">
        <v>106.3</v>
      </c>
      <c r="T7" s="1">
        <v>107</v>
      </c>
      <c r="U7" s="1" t="s">
        <v>36</v>
      </c>
      <c r="V7" s="1">
        <v>106.2</v>
      </c>
      <c r="W7" s="1">
        <v>105.2</v>
      </c>
      <c r="X7" s="1">
        <v>104.4</v>
      </c>
      <c r="Y7" s="1">
        <v>103.9</v>
      </c>
      <c r="Z7" s="1">
        <v>104</v>
      </c>
      <c r="AA7" s="1">
        <v>104.1</v>
      </c>
      <c r="AB7" s="1">
        <v>104.6</v>
      </c>
      <c r="AC7" s="1">
        <v>104.4</v>
      </c>
      <c r="AD7" s="1">
        <v>105.8</v>
      </c>
    </row>
    <row r="8" spans="1:30" x14ac:dyDescent="0.3">
      <c r="A8" s="1" t="s">
        <v>32</v>
      </c>
      <c r="B8" s="1">
        <v>2013</v>
      </c>
      <c r="C8" s="1" t="s">
        <v>35</v>
      </c>
      <c r="D8" s="1">
        <v>112.9</v>
      </c>
      <c r="E8" s="1">
        <v>112.9</v>
      </c>
      <c r="F8" s="1">
        <v>116.9</v>
      </c>
      <c r="G8" s="1">
        <v>104</v>
      </c>
      <c r="H8" s="1">
        <v>103.5</v>
      </c>
      <c r="I8" s="1">
        <v>103.1</v>
      </c>
      <c r="J8" s="1">
        <v>104.9</v>
      </c>
      <c r="K8" s="1">
        <v>104.1</v>
      </c>
      <c r="L8" s="1">
        <v>103.8</v>
      </c>
      <c r="M8" s="1">
        <v>102.3</v>
      </c>
      <c r="N8" s="1">
        <v>106</v>
      </c>
      <c r="O8" s="1">
        <v>109</v>
      </c>
      <c r="P8" s="1">
        <v>107.2</v>
      </c>
      <c r="Q8" s="1">
        <v>106</v>
      </c>
      <c r="R8" s="1">
        <v>106.6</v>
      </c>
      <c r="S8" s="1">
        <v>105.5</v>
      </c>
      <c r="T8" s="1">
        <v>106.4</v>
      </c>
      <c r="U8" s="1" t="s">
        <v>36</v>
      </c>
      <c r="V8" s="1">
        <v>105.7</v>
      </c>
      <c r="W8" s="1">
        <v>105.2</v>
      </c>
      <c r="X8" s="1">
        <v>104.7</v>
      </c>
      <c r="Y8" s="1">
        <v>104.4</v>
      </c>
      <c r="Z8" s="1">
        <v>103.3</v>
      </c>
      <c r="AA8" s="1">
        <v>103.7</v>
      </c>
      <c r="AB8" s="1">
        <v>104.3</v>
      </c>
      <c r="AC8" s="1">
        <v>104.3</v>
      </c>
      <c r="AD8" s="1">
        <v>104.7</v>
      </c>
    </row>
    <row r="9" spans="1:30" x14ac:dyDescent="0.3">
      <c r="A9" s="1" t="s">
        <v>34</v>
      </c>
      <c r="B9" s="1">
        <v>2013</v>
      </c>
      <c r="C9" s="1" t="s">
        <v>35</v>
      </c>
      <c r="D9" s="1">
        <v>110.4</v>
      </c>
      <c r="E9" s="1">
        <v>110.2</v>
      </c>
      <c r="F9" s="1">
        <v>112.8</v>
      </c>
      <c r="G9" s="1">
        <v>104.9</v>
      </c>
      <c r="H9" s="1">
        <v>105.5</v>
      </c>
      <c r="I9" s="1">
        <v>103.6</v>
      </c>
      <c r="J9" s="1">
        <v>103.2</v>
      </c>
      <c r="K9" s="1">
        <v>105.3</v>
      </c>
      <c r="L9" s="1">
        <v>105.1</v>
      </c>
      <c r="M9" s="1">
        <v>102.8</v>
      </c>
      <c r="N9" s="1">
        <v>105.5</v>
      </c>
      <c r="O9" s="1">
        <v>108.3</v>
      </c>
      <c r="P9" s="1">
        <v>106.6</v>
      </c>
      <c r="Q9" s="1">
        <v>105.7</v>
      </c>
      <c r="R9" s="1">
        <v>106.9</v>
      </c>
      <c r="S9" s="1">
        <v>106</v>
      </c>
      <c r="T9" s="1">
        <v>106.8</v>
      </c>
      <c r="U9" s="1" t="s">
        <v>36</v>
      </c>
      <c r="V9" s="1">
        <v>106</v>
      </c>
      <c r="W9" s="1">
        <v>105.2</v>
      </c>
      <c r="X9" s="1">
        <v>104.5</v>
      </c>
      <c r="Y9" s="1">
        <v>104.2</v>
      </c>
      <c r="Z9" s="1">
        <v>103.6</v>
      </c>
      <c r="AA9" s="1">
        <v>103.9</v>
      </c>
      <c r="AB9" s="1">
        <v>104.5</v>
      </c>
      <c r="AC9" s="1">
        <v>104.4</v>
      </c>
      <c r="AD9" s="1">
        <v>105.3</v>
      </c>
    </row>
    <row r="10" spans="1:30" x14ac:dyDescent="0.3">
      <c r="A10" s="1" t="s">
        <v>30</v>
      </c>
      <c r="B10" s="1">
        <v>2013</v>
      </c>
      <c r="C10" s="1" t="s">
        <v>37</v>
      </c>
      <c r="D10" s="1">
        <v>110.2</v>
      </c>
      <c r="E10" s="1">
        <v>108.8</v>
      </c>
      <c r="F10" s="1">
        <v>109.9</v>
      </c>
      <c r="G10" s="1">
        <v>105.6</v>
      </c>
      <c r="H10" s="1">
        <v>106.2</v>
      </c>
      <c r="I10" s="1">
        <v>105.7</v>
      </c>
      <c r="J10" s="1">
        <v>101.4</v>
      </c>
      <c r="K10" s="1">
        <v>105.7</v>
      </c>
      <c r="L10" s="1">
        <v>105</v>
      </c>
      <c r="M10" s="1">
        <v>103.3</v>
      </c>
      <c r="N10" s="1">
        <v>105.6</v>
      </c>
      <c r="O10" s="1">
        <v>108.2</v>
      </c>
      <c r="P10" s="1">
        <v>106.6</v>
      </c>
      <c r="Q10" s="1">
        <v>106.5</v>
      </c>
      <c r="R10" s="1">
        <v>107.6</v>
      </c>
      <c r="S10" s="1">
        <v>106.8</v>
      </c>
      <c r="T10" s="1">
        <v>107.5</v>
      </c>
      <c r="U10" s="1" t="s">
        <v>36</v>
      </c>
      <c r="V10" s="1">
        <v>106.1</v>
      </c>
      <c r="W10" s="1">
        <v>105.6</v>
      </c>
      <c r="X10" s="1">
        <v>104.7</v>
      </c>
      <c r="Y10" s="1">
        <v>104.6</v>
      </c>
      <c r="Z10" s="1">
        <v>104</v>
      </c>
      <c r="AA10" s="1">
        <v>104.3</v>
      </c>
      <c r="AB10" s="1">
        <v>104.3</v>
      </c>
      <c r="AC10" s="1">
        <v>104.6</v>
      </c>
      <c r="AD10" s="1">
        <v>106</v>
      </c>
    </row>
    <row r="11" spans="1:30" x14ac:dyDescent="0.3">
      <c r="A11" s="1" t="s">
        <v>32</v>
      </c>
      <c r="B11" s="1">
        <v>2013</v>
      </c>
      <c r="C11" s="1" t="s">
        <v>37</v>
      </c>
      <c r="D11" s="1">
        <v>113.9</v>
      </c>
      <c r="E11" s="1">
        <v>111.4</v>
      </c>
      <c r="F11" s="1">
        <v>113.2</v>
      </c>
      <c r="G11" s="1">
        <v>104.3</v>
      </c>
      <c r="H11" s="1">
        <v>102.7</v>
      </c>
      <c r="I11" s="1">
        <v>104.9</v>
      </c>
      <c r="J11" s="1">
        <v>103.8</v>
      </c>
      <c r="K11" s="1">
        <v>103.5</v>
      </c>
      <c r="L11" s="1">
        <v>102.6</v>
      </c>
      <c r="M11" s="1">
        <v>102.4</v>
      </c>
      <c r="N11" s="1">
        <v>107</v>
      </c>
      <c r="O11" s="1">
        <v>109.8</v>
      </c>
      <c r="P11" s="1">
        <v>107.3</v>
      </c>
      <c r="Q11" s="1">
        <v>106.8</v>
      </c>
      <c r="R11" s="1">
        <v>107.2</v>
      </c>
      <c r="S11" s="1">
        <v>106</v>
      </c>
      <c r="T11" s="1">
        <v>107</v>
      </c>
      <c r="U11" s="1" t="s">
        <v>36</v>
      </c>
      <c r="V11" s="1">
        <v>106</v>
      </c>
      <c r="W11" s="1">
        <v>105.7</v>
      </c>
      <c r="X11" s="1">
        <v>105.2</v>
      </c>
      <c r="Y11" s="1">
        <v>105.5</v>
      </c>
      <c r="Z11" s="1">
        <v>103.5</v>
      </c>
      <c r="AA11" s="1">
        <v>103.8</v>
      </c>
      <c r="AB11" s="1">
        <v>104.2</v>
      </c>
      <c r="AC11" s="1">
        <v>104.9</v>
      </c>
      <c r="AD11" s="1">
        <v>105</v>
      </c>
    </row>
    <row r="12" spans="1:30" x14ac:dyDescent="0.3">
      <c r="A12" s="1" t="s">
        <v>34</v>
      </c>
      <c r="B12" s="1">
        <v>2013</v>
      </c>
      <c r="C12" s="1" t="s">
        <v>37</v>
      </c>
      <c r="D12" s="1">
        <v>111.4</v>
      </c>
      <c r="E12" s="1">
        <v>109.7</v>
      </c>
      <c r="F12" s="1">
        <v>111.2</v>
      </c>
      <c r="G12" s="1">
        <v>105.1</v>
      </c>
      <c r="H12" s="1">
        <v>104.9</v>
      </c>
      <c r="I12" s="1">
        <v>105.3</v>
      </c>
      <c r="J12" s="1">
        <v>102.2</v>
      </c>
      <c r="K12" s="1">
        <v>105</v>
      </c>
      <c r="L12" s="1">
        <v>104.2</v>
      </c>
      <c r="M12" s="1">
        <v>103</v>
      </c>
      <c r="N12" s="1">
        <v>106.2</v>
      </c>
      <c r="O12" s="1">
        <v>108.9</v>
      </c>
      <c r="P12" s="1">
        <v>106.9</v>
      </c>
      <c r="Q12" s="1">
        <v>106.6</v>
      </c>
      <c r="R12" s="1">
        <v>107.4</v>
      </c>
      <c r="S12" s="1">
        <v>106.5</v>
      </c>
      <c r="T12" s="1">
        <v>107.3</v>
      </c>
      <c r="U12" s="1" t="s">
        <v>36</v>
      </c>
      <c r="V12" s="1">
        <v>106.1</v>
      </c>
      <c r="W12" s="1">
        <v>105.6</v>
      </c>
      <c r="X12" s="1">
        <v>104.9</v>
      </c>
      <c r="Y12" s="1">
        <v>105.1</v>
      </c>
      <c r="Z12" s="1">
        <v>103.7</v>
      </c>
      <c r="AA12" s="1">
        <v>104</v>
      </c>
      <c r="AB12" s="1">
        <v>104.3</v>
      </c>
      <c r="AC12" s="1">
        <v>104.7</v>
      </c>
      <c r="AD12" s="1">
        <v>105.5</v>
      </c>
    </row>
    <row r="13" spans="1:30" x14ac:dyDescent="0.3">
      <c r="A13" s="1" t="s">
        <v>30</v>
      </c>
      <c r="B13" s="1">
        <v>2013</v>
      </c>
      <c r="C13" s="1" t="s">
        <v>38</v>
      </c>
      <c r="D13" s="1">
        <v>110.2</v>
      </c>
      <c r="E13" s="1">
        <v>109.5</v>
      </c>
      <c r="F13" s="1">
        <v>106.9</v>
      </c>
      <c r="G13" s="1">
        <v>106.3</v>
      </c>
      <c r="H13" s="1">
        <v>105.7</v>
      </c>
      <c r="I13" s="1">
        <v>108.3</v>
      </c>
      <c r="J13" s="1">
        <v>103.4</v>
      </c>
      <c r="K13" s="1">
        <v>105.7</v>
      </c>
      <c r="L13" s="1">
        <v>104.2</v>
      </c>
      <c r="M13" s="1">
        <v>103.2</v>
      </c>
      <c r="N13" s="1">
        <v>106.5</v>
      </c>
      <c r="O13" s="1">
        <v>108.8</v>
      </c>
      <c r="P13" s="1">
        <v>107.1</v>
      </c>
      <c r="Q13" s="1">
        <v>107.1</v>
      </c>
      <c r="R13" s="1">
        <v>108.1</v>
      </c>
      <c r="S13" s="1">
        <v>107.4</v>
      </c>
      <c r="T13" s="1">
        <v>108</v>
      </c>
      <c r="U13" s="1" t="s">
        <v>39</v>
      </c>
      <c r="V13" s="1">
        <v>106.5</v>
      </c>
      <c r="W13" s="1">
        <v>106.1</v>
      </c>
      <c r="X13" s="1">
        <v>105.1</v>
      </c>
      <c r="Y13" s="1">
        <v>104.4</v>
      </c>
      <c r="Z13" s="1">
        <v>104.5</v>
      </c>
      <c r="AA13" s="1">
        <v>104.8</v>
      </c>
      <c r="AB13" s="1">
        <v>102.7</v>
      </c>
      <c r="AC13" s="1">
        <v>104.6</v>
      </c>
      <c r="AD13" s="1">
        <v>106.4</v>
      </c>
    </row>
    <row r="14" spans="1:30" x14ac:dyDescent="0.3">
      <c r="A14" s="1" t="s">
        <v>32</v>
      </c>
      <c r="B14" s="1">
        <v>2013</v>
      </c>
      <c r="C14" s="1" t="s">
        <v>38</v>
      </c>
      <c r="D14" s="1">
        <v>114.6</v>
      </c>
      <c r="E14" s="1">
        <v>113.4</v>
      </c>
      <c r="F14" s="1">
        <v>106</v>
      </c>
      <c r="G14" s="1">
        <v>104.7</v>
      </c>
      <c r="H14" s="1">
        <v>102.1</v>
      </c>
      <c r="I14" s="1">
        <v>109.5</v>
      </c>
      <c r="J14" s="1">
        <v>109.7</v>
      </c>
      <c r="K14" s="1">
        <v>104.6</v>
      </c>
      <c r="L14" s="1">
        <v>102</v>
      </c>
      <c r="M14" s="1">
        <v>103.5</v>
      </c>
      <c r="N14" s="1">
        <v>108.2</v>
      </c>
      <c r="O14" s="1">
        <v>110.6</v>
      </c>
      <c r="P14" s="1">
        <v>108.8</v>
      </c>
      <c r="Q14" s="1">
        <v>108.5</v>
      </c>
      <c r="R14" s="1">
        <v>107.9</v>
      </c>
      <c r="S14" s="1">
        <v>106.4</v>
      </c>
      <c r="T14" s="1">
        <v>107.7</v>
      </c>
      <c r="U14" s="1" t="s">
        <v>39</v>
      </c>
      <c r="V14" s="1">
        <v>106.4</v>
      </c>
      <c r="W14" s="1">
        <v>106.5</v>
      </c>
      <c r="X14" s="1">
        <v>105.7</v>
      </c>
      <c r="Y14" s="1">
        <v>105</v>
      </c>
      <c r="Z14" s="1">
        <v>104</v>
      </c>
      <c r="AA14" s="1">
        <v>105.2</v>
      </c>
      <c r="AB14" s="1">
        <v>103.2</v>
      </c>
      <c r="AC14" s="1">
        <v>105.1</v>
      </c>
      <c r="AD14" s="1">
        <v>105.7</v>
      </c>
    </row>
    <row r="15" spans="1:30" x14ac:dyDescent="0.3">
      <c r="A15" s="1" t="s">
        <v>34</v>
      </c>
      <c r="B15" s="1">
        <v>2013</v>
      </c>
      <c r="C15" s="1" t="s">
        <v>38</v>
      </c>
      <c r="D15" s="1">
        <v>111.6</v>
      </c>
      <c r="E15" s="1">
        <v>110.9</v>
      </c>
      <c r="F15" s="1">
        <v>106.6</v>
      </c>
      <c r="G15" s="1">
        <v>105.7</v>
      </c>
      <c r="H15" s="1">
        <v>104.4</v>
      </c>
      <c r="I15" s="1">
        <v>108.9</v>
      </c>
      <c r="J15" s="1">
        <v>105.5</v>
      </c>
      <c r="K15" s="1">
        <v>105.3</v>
      </c>
      <c r="L15" s="1">
        <v>103.5</v>
      </c>
      <c r="M15" s="1">
        <v>103.3</v>
      </c>
      <c r="N15" s="1">
        <v>107.2</v>
      </c>
      <c r="O15" s="1">
        <v>109.6</v>
      </c>
      <c r="P15" s="1">
        <v>107.7</v>
      </c>
      <c r="Q15" s="1">
        <v>107.5</v>
      </c>
      <c r="R15" s="1">
        <v>108</v>
      </c>
      <c r="S15" s="1">
        <v>107</v>
      </c>
      <c r="T15" s="1">
        <v>107.9</v>
      </c>
      <c r="U15" s="1" t="s">
        <v>39</v>
      </c>
      <c r="V15" s="1">
        <v>106.5</v>
      </c>
      <c r="W15" s="1">
        <v>106.3</v>
      </c>
      <c r="X15" s="1">
        <v>105.3</v>
      </c>
      <c r="Y15" s="1">
        <v>104.7</v>
      </c>
      <c r="Z15" s="1">
        <v>104.2</v>
      </c>
      <c r="AA15" s="1">
        <v>105</v>
      </c>
      <c r="AB15" s="1">
        <v>102.9</v>
      </c>
      <c r="AC15" s="1">
        <v>104.8</v>
      </c>
      <c r="AD15" s="1">
        <v>106.1</v>
      </c>
    </row>
    <row r="16" spans="1:30" x14ac:dyDescent="0.3">
      <c r="A16" s="1" t="s">
        <v>30</v>
      </c>
      <c r="B16" s="1">
        <v>2013</v>
      </c>
      <c r="C16" s="1" t="s">
        <v>40</v>
      </c>
      <c r="D16" s="1">
        <v>110.9</v>
      </c>
      <c r="E16" s="1">
        <v>109.8</v>
      </c>
      <c r="F16" s="1">
        <v>105.9</v>
      </c>
      <c r="G16" s="1">
        <v>107.5</v>
      </c>
      <c r="H16" s="1">
        <v>105.3</v>
      </c>
      <c r="I16" s="1">
        <v>108.1</v>
      </c>
      <c r="J16" s="1">
        <v>107.3</v>
      </c>
      <c r="K16" s="1">
        <v>106.1</v>
      </c>
      <c r="L16" s="1">
        <v>103.7</v>
      </c>
      <c r="M16" s="1">
        <v>104</v>
      </c>
      <c r="N16" s="1">
        <v>107.4</v>
      </c>
      <c r="O16" s="1">
        <v>109.9</v>
      </c>
      <c r="P16" s="1">
        <v>108.1</v>
      </c>
      <c r="Q16" s="1">
        <v>108.1</v>
      </c>
      <c r="R16" s="1">
        <v>108.8</v>
      </c>
      <c r="S16" s="1">
        <v>107.9</v>
      </c>
      <c r="T16" s="1">
        <v>108.6</v>
      </c>
      <c r="U16" s="1" t="s">
        <v>39</v>
      </c>
      <c r="V16" s="1">
        <v>107.5</v>
      </c>
      <c r="W16" s="1">
        <v>106.8</v>
      </c>
      <c r="X16" s="1">
        <v>105.7</v>
      </c>
      <c r="Y16" s="1">
        <v>104.1</v>
      </c>
      <c r="Z16" s="1">
        <v>105</v>
      </c>
      <c r="AA16" s="1">
        <v>105.5</v>
      </c>
      <c r="AB16" s="1">
        <v>102.1</v>
      </c>
      <c r="AC16" s="1">
        <v>104.8</v>
      </c>
      <c r="AD16" s="1">
        <v>107.2</v>
      </c>
    </row>
    <row r="17" spans="1:30" x14ac:dyDescent="0.3">
      <c r="A17" s="1" t="s">
        <v>32</v>
      </c>
      <c r="B17" s="1">
        <v>2013</v>
      </c>
      <c r="C17" s="1" t="s">
        <v>40</v>
      </c>
      <c r="D17" s="1">
        <v>115.4</v>
      </c>
      <c r="E17" s="1">
        <v>114.2</v>
      </c>
      <c r="F17" s="1">
        <v>102.7</v>
      </c>
      <c r="G17" s="1">
        <v>105.5</v>
      </c>
      <c r="H17" s="1">
        <v>101.5</v>
      </c>
      <c r="I17" s="1">
        <v>110.6</v>
      </c>
      <c r="J17" s="1">
        <v>123.7</v>
      </c>
      <c r="K17" s="1">
        <v>105.2</v>
      </c>
      <c r="L17" s="1">
        <v>101.9</v>
      </c>
      <c r="M17" s="1">
        <v>105</v>
      </c>
      <c r="N17" s="1">
        <v>109.1</v>
      </c>
      <c r="O17" s="1">
        <v>111.3</v>
      </c>
      <c r="P17" s="1">
        <v>111.1</v>
      </c>
      <c r="Q17" s="1">
        <v>109.8</v>
      </c>
      <c r="R17" s="1">
        <v>108.5</v>
      </c>
      <c r="S17" s="1">
        <v>106.7</v>
      </c>
      <c r="T17" s="1">
        <v>108.3</v>
      </c>
      <c r="U17" s="1" t="s">
        <v>39</v>
      </c>
      <c r="V17" s="1">
        <v>107.2</v>
      </c>
      <c r="W17" s="1">
        <v>107.1</v>
      </c>
      <c r="X17" s="1">
        <v>106.2</v>
      </c>
      <c r="Y17" s="1">
        <v>103.9</v>
      </c>
      <c r="Z17" s="1">
        <v>104.6</v>
      </c>
      <c r="AA17" s="1">
        <v>105.7</v>
      </c>
      <c r="AB17" s="1">
        <v>102.6</v>
      </c>
      <c r="AC17" s="1">
        <v>104.9</v>
      </c>
      <c r="AD17" s="1">
        <v>106.6</v>
      </c>
    </row>
    <row r="18" spans="1:30" x14ac:dyDescent="0.3">
      <c r="A18" s="1" t="s">
        <v>34</v>
      </c>
      <c r="B18" s="1">
        <v>2013</v>
      </c>
      <c r="C18" s="1" t="s">
        <v>40</v>
      </c>
      <c r="D18" s="1">
        <v>112.3</v>
      </c>
      <c r="E18" s="1">
        <v>111.3</v>
      </c>
      <c r="F18" s="1">
        <v>104.7</v>
      </c>
      <c r="G18" s="1">
        <v>106.8</v>
      </c>
      <c r="H18" s="1">
        <v>103.9</v>
      </c>
      <c r="I18" s="1">
        <v>109.3</v>
      </c>
      <c r="J18" s="1">
        <v>112.9</v>
      </c>
      <c r="K18" s="1">
        <v>105.8</v>
      </c>
      <c r="L18" s="1">
        <v>103.1</v>
      </c>
      <c r="M18" s="1">
        <v>104.3</v>
      </c>
      <c r="N18" s="1">
        <v>108.1</v>
      </c>
      <c r="O18" s="1">
        <v>110.5</v>
      </c>
      <c r="P18" s="1">
        <v>109.2</v>
      </c>
      <c r="Q18" s="1">
        <v>108.6</v>
      </c>
      <c r="R18" s="1">
        <v>108.7</v>
      </c>
      <c r="S18" s="1">
        <v>107.4</v>
      </c>
      <c r="T18" s="1">
        <v>108.5</v>
      </c>
      <c r="U18" s="1" t="s">
        <v>39</v>
      </c>
      <c r="V18" s="1">
        <v>107.4</v>
      </c>
      <c r="W18" s="1">
        <v>106.9</v>
      </c>
      <c r="X18" s="1">
        <v>105.9</v>
      </c>
      <c r="Y18" s="1">
        <v>104</v>
      </c>
      <c r="Z18" s="1">
        <v>104.8</v>
      </c>
      <c r="AA18" s="1">
        <v>105.6</v>
      </c>
      <c r="AB18" s="1">
        <v>102.3</v>
      </c>
      <c r="AC18" s="1">
        <v>104.8</v>
      </c>
      <c r="AD18" s="1">
        <v>106.9</v>
      </c>
    </row>
    <row r="19" spans="1:30" x14ac:dyDescent="0.3">
      <c r="A19" s="1" t="s">
        <v>30</v>
      </c>
      <c r="B19" s="1">
        <v>2013</v>
      </c>
      <c r="C19" s="1" t="s">
        <v>41</v>
      </c>
      <c r="D19" s="1">
        <v>112.3</v>
      </c>
      <c r="E19" s="1">
        <v>112.1</v>
      </c>
      <c r="F19" s="1">
        <v>108.1</v>
      </c>
      <c r="G19" s="1">
        <v>108.3</v>
      </c>
      <c r="H19" s="1">
        <v>105.9</v>
      </c>
      <c r="I19" s="1">
        <v>109.2</v>
      </c>
      <c r="J19" s="1">
        <v>118</v>
      </c>
      <c r="K19" s="1">
        <v>106.8</v>
      </c>
      <c r="L19" s="1">
        <v>104.1</v>
      </c>
      <c r="M19" s="1">
        <v>105.4</v>
      </c>
      <c r="N19" s="1">
        <v>108.2</v>
      </c>
      <c r="O19" s="1">
        <v>111</v>
      </c>
      <c r="P19" s="1">
        <v>110.6</v>
      </c>
      <c r="Q19" s="1">
        <v>109</v>
      </c>
      <c r="R19" s="1">
        <v>109.7</v>
      </c>
      <c r="S19" s="1">
        <v>108.8</v>
      </c>
      <c r="T19" s="1">
        <v>109.5</v>
      </c>
      <c r="U19" s="1" t="s">
        <v>42</v>
      </c>
      <c r="V19" s="1">
        <v>108.5</v>
      </c>
      <c r="W19" s="1">
        <v>107.5</v>
      </c>
      <c r="X19" s="1">
        <v>106.3</v>
      </c>
      <c r="Y19" s="1">
        <v>105</v>
      </c>
      <c r="Z19" s="1">
        <v>105.6</v>
      </c>
      <c r="AA19" s="1">
        <v>106.5</v>
      </c>
      <c r="AB19" s="1">
        <v>102.5</v>
      </c>
      <c r="AC19" s="1">
        <v>105.5</v>
      </c>
      <c r="AD19" s="1">
        <v>108.9</v>
      </c>
    </row>
    <row r="20" spans="1:30" x14ac:dyDescent="0.3">
      <c r="A20" s="1" t="s">
        <v>32</v>
      </c>
      <c r="B20" s="1">
        <v>2013</v>
      </c>
      <c r="C20" s="1" t="s">
        <v>41</v>
      </c>
      <c r="D20" s="1">
        <v>117</v>
      </c>
      <c r="E20" s="1">
        <v>120.1</v>
      </c>
      <c r="F20" s="1">
        <v>112.5</v>
      </c>
      <c r="G20" s="1">
        <v>107.3</v>
      </c>
      <c r="H20" s="1">
        <v>101.3</v>
      </c>
      <c r="I20" s="1">
        <v>112.4</v>
      </c>
      <c r="J20" s="1">
        <v>143.6</v>
      </c>
      <c r="K20" s="1">
        <v>105.4</v>
      </c>
      <c r="L20" s="1">
        <v>101.4</v>
      </c>
      <c r="M20" s="1">
        <v>106.4</v>
      </c>
      <c r="N20" s="1">
        <v>110</v>
      </c>
      <c r="O20" s="1">
        <v>112.2</v>
      </c>
      <c r="P20" s="1">
        <v>115</v>
      </c>
      <c r="Q20" s="1">
        <v>110.9</v>
      </c>
      <c r="R20" s="1">
        <v>109.2</v>
      </c>
      <c r="S20" s="1">
        <v>107.2</v>
      </c>
      <c r="T20" s="1">
        <v>108.9</v>
      </c>
      <c r="U20" s="1" t="s">
        <v>42</v>
      </c>
      <c r="V20" s="1">
        <v>108</v>
      </c>
      <c r="W20" s="1">
        <v>107.7</v>
      </c>
      <c r="X20" s="1">
        <v>106.5</v>
      </c>
      <c r="Y20" s="1">
        <v>105.2</v>
      </c>
      <c r="Z20" s="1">
        <v>105.2</v>
      </c>
      <c r="AA20" s="1">
        <v>108.1</v>
      </c>
      <c r="AB20" s="1">
        <v>103.3</v>
      </c>
      <c r="AC20" s="1">
        <v>106.1</v>
      </c>
      <c r="AD20" s="1">
        <v>109.7</v>
      </c>
    </row>
    <row r="21" spans="1:30" x14ac:dyDescent="0.3">
      <c r="A21" s="1" t="s">
        <v>34</v>
      </c>
      <c r="B21" s="1">
        <v>2013</v>
      </c>
      <c r="C21" s="1" t="s">
        <v>41</v>
      </c>
      <c r="D21" s="1">
        <v>113.8</v>
      </c>
      <c r="E21" s="1">
        <v>114.9</v>
      </c>
      <c r="F21" s="1">
        <v>109.8</v>
      </c>
      <c r="G21" s="1">
        <v>107.9</v>
      </c>
      <c r="H21" s="1">
        <v>104.2</v>
      </c>
      <c r="I21" s="1">
        <v>110.7</v>
      </c>
      <c r="J21" s="1">
        <v>126.7</v>
      </c>
      <c r="K21" s="1">
        <v>106.3</v>
      </c>
      <c r="L21" s="1">
        <v>103.2</v>
      </c>
      <c r="M21" s="1">
        <v>105.7</v>
      </c>
      <c r="N21" s="1">
        <v>109</v>
      </c>
      <c r="O21" s="1">
        <v>111.6</v>
      </c>
      <c r="P21" s="1">
        <v>112.2</v>
      </c>
      <c r="Q21" s="1">
        <v>109.5</v>
      </c>
      <c r="R21" s="1">
        <v>109.5</v>
      </c>
      <c r="S21" s="1">
        <v>108.1</v>
      </c>
      <c r="T21" s="1">
        <v>109.3</v>
      </c>
      <c r="U21" s="1" t="s">
        <v>42</v>
      </c>
      <c r="V21" s="1">
        <v>108.3</v>
      </c>
      <c r="W21" s="1">
        <v>107.6</v>
      </c>
      <c r="X21" s="1">
        <v>106.4</v>
      </c>
      <c r="Y21" s="1">
        <v>105.1</v>
      </c>
      <c r="Z21" s="1">
        <v>105.4</v>
      </c>
      <c r="AA21" s="1">
        <v>107.4</v>
      </c>
      <c r="AB21" s="1">
        <v>102.8</v>
      </c>
      <c r="AC21" s="1">
        <v>105.8</v>
      </c>
      <c r="AD21" s="1">
        <v>109.3</v>
      </c>
    </row>
    <row r="22" spans="1:30" x14ac:dyDescent="0.3">
      <c r="A22" s="1" t="s">
        <v>30</v>
      </c>
      <c r="B22" s="1">
        <v>2013</v>
      </c>
      <c r="C22" s="1" t="s">
        <v>43</v>
      </c>
      <c r="D22" s="1">
        <v>113.4</v>
      </c>
      <c r="E22" s="1">
        <v>114.9</v>
      </c>
      <c r="F22" s="1">
        <v>110.5</v>
      </c>
      <c r="G22" s="1">
        <v>109.3</v>
      </c>
      <c r="H22" s="1">
        <v>106.2</v>
      </c>
      <c r="I22" s="1">
        <v>110.3</v>
      </c>
      <c r="J22" s="1">
        <v>129.19999999999999</v>
      </c>
      <c r="K22" s="1">
        <v>107.1</v>
      </c>
      <c r="L22" s="1">
        <v>104.3</v>
      </c>
      <c r="M22" s="1">
        <v>106.4</v>
      </c>
      <c r="N22" s="1">
        <v>109.1</v>
      </c>
      <c r="O22" s="1">
        <v>112.1</v>
      </c>
      <c r="P22" s="1">
        <v>113.1</v>
      </c>
      <c r="Q22" s="1">
        <v>109.8</v>
      </c>
      <c r="R22" s="1">
        <v>110.5</v>
      </c>
      <c r="S22" s="1">
        <v>109.5</v>
      </c>
      <c r="T22" s="1">
        <v>110.3</v>
      </c>
      <c r="U22" s="1" t="s">
        <v>44</v>
      </c>
      <c r="V22" s="1">
        <v>109.5</v>
      </c>
      <c r="W22" s="1">
        <v>108.3</v>
      </c>
      <c r="X22" s="1">
        <v>106.9</v>
      </c>
      <c r="Y22" s="1">
        <v>106.8</v>
      </c>
      <c r="Z22" s="1">
        <v>106.4</v>
      </c>
      <c r="AA22" s="1">
        <v>107.8</v>
      </c>
      <c r="AB22" s="1">
        <v>102.5</v>
      </c>
      <c r="AC22" s="1">
        <v>106.5</v>
      </c>
      <c r="AD22" s="1">
        <v>110.7</v>
      </c>
    </row>
    <row r="23" spans="1:30" x14ac:dyDescent="0.3">
      <c r="A23" s="1" t="s">
        <v>32</v>
      </c>
      <c r="B23" s="1">
        <v>2013</v>
      </c>
      <c r="C23" s="1" t="s">
        <v>43</v>
      </c>
      <c r="D23" s="1">
        <v>117.8</v>
      </c>
      <c r="E23" s="1">
        <v>119.2</v>
      </c>
      <c r="F23" s="1">
        <v>114</v>
      </c>
      <c r="G23" s="1">
        <v>108.3</v>
      </c>
      <c r="H23" s="1">
        <v>101.1</v>
      </c>
      <c r="I23" s="1">
        <v>113.2</v>
      </c>
      <c r="J23" s="1">
        <v>160.9</v>
      </c>
      <c r="K23" s="1">
        <v>105.1</v>
      </c>
      <c r="L23" s="1">
        <v>101.3</v>
      </c>
      <c r="M23" s="1">
        <v>107.5</v>
      </c>
      <c r="N23" s="1">
        <v>110.4</v>
      </c>
      <c r="O23" s="1">
        <v>113.1</v>
      </c>
      <c r="P23" s="1">
        <v>117.5</v>
      </c>
      <c r="Q23" s="1">
        <v>111.7</v>
      </c>
      <c r="R23" s="1">
        <v>109.8</v>
      </c>
      <c r="S23" s="1">
        <v>107.8</v>
      </c>
      <c r="T23" s="1">
        <v>109.5</v>
      </c>
      <c r="U23" s="1" t="s">
        <v>44</v>
      </c>
      <c r="V23" s="1">
        <v>108.6</v>
      </c>
      <c r="W23" s="1">
        <v>108.1</v>
      </c>
      <c r="X23" s="1">
        <v>107.1</v>
      </c>
      <c r="Y23" s="1">
        <v>107.3</v>
      </c>
      <c r="Z23" s="1">
        <v>105.9</v>
      </c>
      <c r="AA23" s="1">
        <v>110.1</v>
      </c>
      <c r="AB23" s="1">
        <v>103.2</v>
      </c>
      <c r="AC23" s="1">
        <v>107.3</v>
      </c>
      <c r="AD23" s="1">
        <v>111.4</v>
      </c>
    </row>
    <row r="24" spans="1:30" x14ac:dyDescent="0.3">
      <c r="A24" s="1" t="s">
        <v>34</v>
      </c>
      <c r="B24" s="1">
        <v>2013</v>
      </c>
      <c r="C24" s="1" t="s">
        <v>43</v>
      </c>
      <c r="D24" s="1">
        <v>114.8</v>
      </c>
      <c r="E24" s="1">
        <v>116.4</v>
      </c>
      <c r="F24" s="1">
        <v>111.9</v>
      </c>
      <c r="G24" s="1">
        <v>108.9</v>
      </c>
      <c r="H24" s="1">
        <v>104.3</v>
      </c>
      <c r="I24" s="1">
        <v>111.7</v>
      </c>
      <c r="J24" s="1">
        <v>140</v>
      </c>
      <c r="K24" s="1">
        <v>106.4</v>
      </c>
      <c r="L24" s="1">
        <v>103.3</v>
      </c>
      <c r="M24" s="1">
        <v>106.8</v>
      </c>
      <c r="N24" s="1">
        <v>109.6</v>
      </c>
      <c r="O24" s="1">
        <v>112.6</v>
      </c>
      <c r="P24" s="1">
        <v>114.7</v>
      </c>
      <c r="Q24" s="1">
        <v>110.3</v>
      </c>
      <c r="R24" s="1">
        <v>110.2</v>
      </c>
      <c r="S24" s="1">
        <v>108.8</v>
      </c>
      <c r="T24" s="1">
        <v>110</v>
      </c>
      <c r="U24" s="1" t="s">
        <v>44</v>
      </c>
      <c r="V24" s="1">
        <v>109.2</v>
      </c>
      <c r="W24" s="1">
        <v>108.2</v>
      </c>
      <c r="X24" s="1">
        <v>107</v>
      </c>
      <c r="Y24" s="1">
        <v>107.1</v>
      </c>
      <c r="Z24" s="1">
        <v>106.1</v>
      </c>
      <c r="AA24" s="1">
        <v>109.1</v>
      </c>
      <c r="AB24" s="1">
        <v>102.8</v>
      </c>
      <c r="AC24" s="1">
        <v>106.9</v>
      </c>
      <c r="AD24" s="1">
        <v>111</v>
      </c>
    </row>
    <row r="25" spans="1:30" x14ac:dyDescent="0.3">
      <c r="A25" s="1" t="s">
        <v>30</v>
      </c>
      <c r="B25" s="1">
        <v>2013</v>
      </c>
      <c r="C25" s="1" t="s">
        <v>45</v>
      </c>
      <c r="D25" s="1">
        <v>114.3</v>
      </c>
      <c r="E25" s="1">
        <v>115.4</v>
      </c>
      <c r="F25" s="1">
        <v>111.1</v>
      </c>
      <c r="G25" s="1">
        <v>110</v>
      </c>
      <c r="H25" s="1">
        <v>106.4</v>
      </c>
      <c r="I25" s="1">
        <v>110.8</v>
      </c>
      <c r="J25" s="1">
        <v>138.9</v>
      </c>
      <c r="K25" s="1">
        <v>107.4</v>
      </c>
      <c r="L25" s="1">
        <v>104.1</v>
      </c>
      <c r="M25" s="1">
        <v>106.9</v>
      </c>
      <c r="N25" s="1">
        <v>109.7</v>
      </c>
      <c r="O25" s="1">
        <v>112.6</v>
      </c>
      <c r="P25" s="1">
        <v>114.9</v>
      </c>
      <c r="Q25" s="1">
        <v>110.7</v>
      </c>
      <c r="R25" s="1">
        <v>111.3</v>
      </c>
      <c r="S25" s="1">
        <v>110.2</v>
      </c>
      <c r="T25" s="1">
        <v>111.1</v>
      </c>
      <c r="U25" s="1" t="s">
        <v>46</v>
      </c>
      <c r="V25" s="1">
        <v>109.9</v>
      </c>
      <c r="W25" s="1">
        <v>108.7</v>
      </c>
      <c r="X25" s="1">
        <v>107.5</v>
      </c>
      <c r="Y25" s="1">
        <v>107.8</v>
      </c>
      <c r="Z25" s="1">
        <v>106.8</v>
      </c>
      <c r="AA25" s="1">
        <v>108.7</v>
      </c>
      <c r="AB25" s="1">
        <v>105</v>
      </c>
      <c r="AC25" s="1">
        <v>107.5</v>
      </c>
      <c r="AD25" s="1">
        <v>112.1</v>
      </c>
    </row>
    <row r="26" spans="1:30" x14ac:dyDescent="0.3">
      <c r="A26" s="1" t="s">
        <v>32</v>
      </c>
      <c r="B26" s="1">
        <v>2013</v>
      </c>
      <c r="C26" s="1" t="s">
        <v>45</v>
      </c>
      <c r="D26" s="1">
        <v>118.3</v>
      </c>
      <c r="E26" s="1">
        <v>120.4</v>
      </c>
      <c r="F26" s="1">
        <v>112.7</v>
      </c>
      <c r="G26" s="1">
        <v>108.9</v>
      </c>
      <c r="H26" s="1">
        <v>101.1</v>
      </c>
      <c r="I26" s="1">
        <v>108.7</v>
      </c>
      <c r="J26" s="1">
        <v>177</v>
      </c>
      <c r="K26" s="1">
        <v>104.7</v>
      </c>
      <c r="L26" s="1">
        <v>101</v>
      </c>
      <c r="M26" s="1">
        <v>108.5</v>
      </c>
      <c r="N26" s="1">
        <v>110.9</v>
      </c>
      <c r="O26" s="1">
        <v>114.3</v>
      </c>
      <c r="P26" s="1">
        <v>119.6</v>
      </c>
      <c r="Q26" s="1">
        <v>112.4</v>
      </c>
      <c r="R26" s="1">
        <v>110.6</v>
      </c>
      <c r="S26" s="1">
        <v>108.3</v>
      </c>
      <c r="T26" s="1">
        <v>110.2</v>
      </c>
      <c r="U26" s="1" t="s">
        <v>46</v>
      </c>
      <c r="V26" s="1">
        <v>109.3</v>
      </c>
      <c r="W26" s="1">
        <v>108.7</v>
      </c>
      <c r="X26" s="1">
        <v>107.6</v>
      </c>
      <c r="Y26" s="1">
        <v>108.1</v>
      </c>
      <c r="Z26" s="1">
        <v>106.5</v>
      </c>
      <c r="AA26" s="1">
        <v>110.8</v>
      </c>
      <c r="AB26" s="1">
        <v>106</v>
      </c>
      <c r="AC26" s="1">
        <v>108.3</v>
      </c>
      <c r="AD26" s="1">
        <v>112.7</v>
      </c>
    </row>
    <row r="27" spans="1:30" x14ac:dyDescent="0.3">
      <c r="A27" s="1" t="s">
        <v>34</v>
      </c>
      <c r="B27" s="1">
        <v>2013</v>
      </c>
      <c r="C27" s="1" t="s">
        <v>45</v>
      </c>
      <c r="D27" s="1">
        <v>115.6</v>
      </c>
      <c r="E27" s="1">
        <v>117.2</v>
      </c>
      <c r="F27" s="1">
        <v>111.7</v>
      </c>
      <c r="G27" s="1">
        <v>109.6</v>
      </c>
      <c r="H27" s="1">
        <v>104.5</v>
      </c>
      <c r="I27" s="1">
        <v>109.8</v>
      </c>
      <c r="J27" s="1">
        <v>151.80000000000001</v>
      </c>
      <c r="K27" s="1">
        <v>106.5</v>
      </c>
      <c r="L27" s="1">
        <v>103.1</v>
      </c>
      <c r="M27" s="1">
        <v>107.4</v>
      </c>
      <c r="N27" s="1">
        <v>110.2</v>
      </c>
      <c r="O27" s="1">
        <v>113.4</v>
      </c>
      <c r="P27" s="1">
        <v>116.6</v>
      </c>
      <c r="Q27" s="1">
        <v>111.2</v>
      </c>
      <c r="R27" s="1">
        <v>111</v>
      </c>
      <c r="S27" s="1">
        <v>109.4</v>
      </c>
      <c r="T27" s="1">
        <v>110.7</v>
      </c>
      <c r="U27" s="1" t="s">
        <v>46</v>
      </c>
      <c r="V27" s="1">
        <v>109.7</v>
      </c>
      <c r="W27" s="1">
        <v>108.7</v>
      </c>
      <c r="X27" s="1">
        <v>107.5</v>
      </c>
      <c r="Y27" s="1">
        <v>108</v>
      </c>
      <c r="Z27" s="1">
        <v>106.6</v>
      </c>
      <c r="AA27" s="1">
        <v>109.9</v>
      </c>
      <c r="AB27" s="1">
        <v>105.4</v>
      </c>
      <c r="AC27" s="1">
        <v>107.9</v>
      </c>
      <c r="AD27" s="1">
        <v>112.4</v>
      </c>
    </row>
    <row r="28" spans="1:30" x14ac:dyDescent="0.3">
      <c r="A28" s="1" t="s">
        <v>30</v>
      </c>
      <c r="B28" s="1">
        <v>2013</v>
      </c>
      <c r="C28" s="1" t="s">
        <v>47</v>
      </c>
      <c r="D28" s="1">
        <v>115.4</v>
      </c>
      <c r="E28" s="1">
        <v>115.7</v>
      </c>
      <c r="F28" s="1">
        <v>111.7</v>
      </c>
      <c r="G28" s="1">
        <v>111</v>
      </c>
      <c r="H28" s="1">
        <v>107.4</v>
      </c>
      <c r="I28" s="1">
        <v>110.9</v>
      </c>
      <c r="J28" s="1">
        <v>154</v>
      </c>
      <c r="K28" s="1">
        <v>108.1</v>
      </c>
      <c r="L28" s="1">
        <v>104.2</v>
      </c>
      <c r="M28" s="1">
        <v>107.9</v>
      </c>
      <c r="N28" s="1">
        <v>110.4</v>
      </c>
      <c r="O28" s="1">
        <v>114</v>
      </c>
      <c r="P28" s="1">
        <v>117.8</v>
      </c>
      <c r="Q28" s="1">
        <v>111.7</v>
      </c>
      <c r="R28" s="1">
        <v>112.7</v>
      </c>
      <c r="S28" s="1">
        <v>111.4</v>
      </c>
      <c r="T28" s="1">
        <v>112.5</v>
      </c>
      <c r="U28" s="1" t="s">
        <v>48</v>
      </c>
      <c r="V28" s="1">
        <v>111.1</v>
      </c>
      <c r="W28" s="1">
        <v>109.6</v>
      </c>
      <c r="X28" s="1">
        <v>108.3</v>
      </c>
      <c r="Y28" s="1">
        <v>109.3</v>
      </c>
      <c r="Z28" s="1">
        <v>107.7</v>
      </c>
      <c r="AA28" s="1">
        <v>109.8</v>
      </c>
      <c r="AB28" s="1">
        <v>106.7</v>
      </c>
      <c r="AC28" s="1">
        <v>108.7</v>
      </c>
      <c r="AD28" s="1">
        <v>114.2</v>
      </c>
    </row>
    <row r="29" spans="1:30" x14ac:dyDescent="0.3">
      <c r="A29" s="1" t="s">
        <v>32</v>
      </c>
      <c r="B29" s="1">
        <v>2013</v>
      </c>
      <c r="C29" s="1" t="s">
        <v>47</v>
      </c>
      <c r="D29" s="1">
        <v>118.6</v>
      </c>
      <c r="E29" s="1">
        <v>119.1</v>
      </c>
      <c r="F29" s="1">
        <v>113.2</v>
      </c>
      <c r="G29" s="1">
        <v>109.6</v>
      </c>
      <c r="H29" s="1">
        <v>101.7</v>
      </c>
      <c r="I29" s="1">
        <v>103.2</v>
      </c>
      <c r="J29" s="1">
        <v>174.3</v>
      </c>
      <c r="K29" s="1">
        <v>105.1</v>
      </c>
      <c r="L29" s="1">
        <v>100.8</v>
      </c>
      <c r="M29" s="1">
        <v>109.1</v>
      </c>
      <c r="N29" s="1">
        <v>111.1</v>
      </c>
      <c r="O29" s="1">
        <v>115.4</v>
      </c>
      <c r="P29" s="1">
        <v>119.2</v>
      </c>
      <c r="Q29" s="1">
        <v>112.9</v>
      </c>
      <c r="R29" s="1">
        <v>111.4</v>
      </c>
      <c r="S29" s="1">
        <v>109</v>
      </c>
      <c r="T29" s="1">
        <v>111.1</v>
      </c>
      <c r="U29" s="1" t="s">
        <v>48</v>
      </c>
      <c r="V29" s="1">
        <v>109.5</v>
      </c>
      <c r="W29" s="1">
        <v>109.6</v>
      </c>
      <c r="X29" s="1">
        <v>107.9</v>
      </c>
      <c r="Y29" s="1">
        <v>110.4</v>
      </c>
      <c r="Z29" s="1">
        <v>107.4</v>
      </c>
      <c r="AA29" s="1">
        <v>111.2</v>
      </c>
      <c r="AB29" s="1">
        <v>106.9</v>
      </c>
      <c r="AC29" s="1">
        <v>109.4</v>
      </c>
      <c r="AD29" s="1">
        <v>113.2</v>
      </c>
    </row>
    <row r="30" spans="1:30" x14ac:dyDescent="0.3">
      <c r="A30" s="1" t="s">
        <v>34</v>
      </c>
      <c r="B30" s="1">
        <v>2013</v>
      </c>
      <c r="C30" s="1" t="s">
        <v>47</v>
      </c>
      <c r="D30" s="1">
        <v>116.4</v>
      </c>
      <c r="E30" s="1">
        <v>116.9</v>
      </c>
      <c r="F30" s="1">
        <v>112.3</v>
      </c>
      <c r="G30" s="1">
        <v>110.5</v>
      </c>
      <c r="H30" s="1">
        <v>105.3</v>
      </c>
      <c r="I30" s="1">
        <v>107.3</v>
      </c>
      <c r="J30" s="1">
        <v>160.9</v>
      </c>
      <c r="K30" s="1">
        <v>107.1</v>
      </c>
      <c r="L30" s="1">
        <v>103.1</v>
      </c>
      <c r="M30" s="1">
        <v>108.3</v>
      </c>
      <c r="N30" s="1">
        <v>110.7</v>
      </c>
      <c r="O30" s="1">
        <v>114.6</v>
      </c>
      <c r="P30" s="1">
        <v>118.3</v>
      </c>
      <c r="Q30" s="1">
        <v>112</v>
      </c>
      <c r="R30" s="1">
        <v>112.2</v>
      </c>
      <c r="S30" s="1">
        <v>110.4</v>
      </c>
      <c r="T30" s="1">
        <v>111.9</v>
      </c>
      <c r="U30" s="1" t="s">
        <v>48</v>
      </c>
      <c r="V30" s="1">
        <v>110.5</v>
      </c>
      <c r="W30" s="1">
        <v>109.6</v>
      </c>
      <c r="X30" s="1">
        <v>108.1</v>
      </c>
      <c r="Y30" s="1">
        <v>109.9</v>
      </c>
      <c r="Z30" s="1">
        <v>107.5</v>
      </c>
      <c r="AA30" s="1">
        <v>110.6</v>
      </c>
      <c r="AB30" s="1">
        <v>106.8</v>
      </c>
      <c r="AC30" s="1">
        <v>109</v>
      </c>
      <c r="AD30" s="1">
        <v>113.7</v>
      </c>
    </row>
    <row r="31" spans="1:30" x14ac:dyDescent="0.3">
      <c r="A31" s="1" t="s">
        <v>30</v>
      </c>
      <c r="B31" s="1">
        <v>2013</v>
      </c>
      <c r="C31" s="1" t="s">
        <v>49</v>
      </c>
      <c r="D31" s="1">
        <v>116.3</v>
      </c>
      <c r="E31" s="1">
        <v>115.4</v>
      </c>
      <c r="F31" s="1">
        <v>112.6</v>
      </c>
      <c r="G31" s="1">
        <v>111.7</v>
      </c>
      <c r="H31" s="1">
        <v>107.7</v>
      </c>
      <c r="I31" s="1">
        <v>113.2</v>
      </c>
      <c r="J31" s="1">
        <v>164.9</v>
      </c>
      <c r="K31" s="1">
        <v>108.3</v>
      </c>
      <c r="L31" s="1">
        <v>103.9</v>
      </c>
      <c r="M31" s="1">
        <v>108.2</v>
      </c>
      <c r="N31" s="1">
        <v>111.1</v>
      </c>
      <c r="O31" s="1">
        <v>114.9</v>
      </c>
      <c r="P31" s="1">
        <v>119.8</v>
      </c>
      <c r="Q31" s="1">
        <v>112.2</v>
      </c>
      <c r="R31" s="1">
        <v>113.6</v>
      </c>
      <c r="S31" s="1">
        <v>112.3</v>
      </c>
      <c r="T31" s="1">
        <v>113.4</v>
      </c>
      <c r="U31" s="1" t="s">
        <v>50</v>
      </c>
      <c r="V31" s="1">
        <v>111.6</v>
      </c>
      <c r="W31" s="1">
        <v>110.4</v>
      </c>
      <c r="X31" s="1">
        <v>108.9</v>
      </c>
      <c r="Y31" s="1">
        <v>109.3</v>
      </c>
      <c r="Z31" s="1">
        <v>108.3</v>
      </c>
      <c r="AA31" s="1">
        <v>110.2</v>
      </c>
      <c r="AB31" s="1">
        <v>107.5</v>
      </c>
      <c r="AC31" s="1">
        <v>109.1</v>
      </c>
      <c r="AD31" s="1">
        <v>115.5</v>
      </c>
    </row>
    <row r="32" spans="1:30" x14ac:dyDescent="0.3">
      <c r="A32" s="1" t="s">
        <v>32</v>
      </c>
      <c r="B32" s="1">
        <v>2013</v>
      </c>
      <c r="C32" s="1" t="s">
        <v>49</v>
      </c>
      <c r="D32" s="1">
        <v>118.9</v>
      </c>
      <c r="E32" s="1">
        <v>118.1</v>
      </c>
      <c r="F32" s="1">
        <v>114.5</v>
      </c>
      <c r="G32" s="1">
        <v>110.4</v>
      </c>
      <c r="H32" s="1">
        <v>102.3</v>
      </c>
      <c r="I32" s="1">
        <v>106.2</v>
      </c>
      <c r="J32" s="1">
        <v>183.5</v>
      </c>
      <c r="K32" s="1">
        <v>105.3</v>
      </c>
      <c r="L32" s="1">
        <v>100.2</v>
      </c>
      <c r="M32" s="1">
        <v>109.6</v>
      </c>
      <c r="N32" s="1">
        <v>111.4</v>
      </c>
      <c r="O32" s="1">
        <v>116</v>
      </c>
      <c r="P32" s="1">
        <v>120.8</v>
      </c>
      <c r="Q32" s="1">
        <v>113.5</v>
      </c>
      <c r="R32" s="1">
        <v>112.5</v>
      </c>
      <c r="S32" s="1">
        <v>109.7</v>
      </c>
      <c r="T32" s="1">
        <v>112</v>
      </c>
      <c r="U32" s="1" t="s">
        <v>50</v>
      </c>
      <c r="V32" s="1">
        <v>109.7</v>
      </c>
      <c r="W32" s="1">
        <v>110.2</v>
      </c>
      <c r="X32" s="1">
        <v>108.2</v>
      </c>
      <c r="Y32" s="1">
        <v>109.7</v>
      </c>
      <c r="Z32" s="1">
        <v>108</v>
      </c>
      <c r="AA32" s="1">
        <v>111.3</v>
      </c>
      <c r="AB32" s="1">
        <v>107.3</v>
      </c>
      <c r="AC32" s="1">
        <v>109.4</v>
      </c>
      <c r="AD32" s="1">
        <v>114</v>
      </c>
    </row>
    <row r="33" spans="1:30" x14ac:dyDescent="0.3">
      <c r="A33" s="1" t="s">
        <v>34</v>
      </c>
      <c r="B33" s="1">
        <v>2013</v>
      </c>
      <c r="C33" s="1" t="s">
        <v>49</v>
      </c>
      <c r="D33" s="1">
        <v>117.1</v>
      </c>
      <c r="E33" s="1">
        <v>116.3</v>
      </c>
      <c r="F33" s="1">
        <v>113.3</v>
      </c>
      <c r="G33" s="1">
        <v>111.2</v>
      </c>
      <c r="H33" s="1">
        <v>105.7</v>
      </c>
      <c r="I33" s="1">
        <v>109.9</v>
      </c>
      <c r="J33" s="1">
        <v>171.2</v>
      </c>
      <c r="K33" s="1">
        <v>107.3</v>
      </c>
      <c r="L33" s="1">
        <v>102.7</v>
      </c>
      <c r="M33" s="1">
        <v>108.7</v>
      </c>
      <c r="N33" s="1">
        <v>111.2</v>
      </c>
      <c r="O33" s="1">
        <v>115.4</v>
      </c>
      <c r="P33" s="1">
        <v>120.2</v>
      </c>
      <c r="Q33" s="1">
        <v>112.5</v>
      </c>
      <c r="R33" s="1">
        <v>113.2</v>
      </c>
      <c r="S33" s="1">
        <v>111.2</v>
      </c>
      <c r="T33" s="1">
        <v>112.8</v>
      </c>
      <c r="U33" s="1" t="s">
        <v>50</v>
      </c>
      <c r="V33" s="1">
        <v>110.9</v>
      </c>
      <c r="W33" s="1">
        <v>110.3</v>
      </c>
      <c r="X33" s="1">
        <v>108.6</v>
      </c>
      <c r="Y33" s="1">
        <v>109.5</v>
      </c>
      <c r="Z33" s="1">
        <v>108.1</v>
      </c>
      <c r="AA33" s="1">
        <v>110.8</v>
      </c>
      <c r="AB33" s="1">
        <v>107.4</v>
      </c>
      <c r="AC33" s="1">
        <v>109.2</v>
      </c>
      <c r="AD33" s="1">
        <v>114.8</v>
      </c>
    </row>
    <row r="34" spans="1:30" x14ac:dyDescent="0.3">
      <c r="A34" s="1" t="s">
        <v>30</v>
      </c>
      <c r="B34" s="1">
        <v>2013</v>
      </c>
      <c r="C34" s="1" t="s">
        <v>51</v>
      </c>
      <c r="D34" s="1">
        <v>117.3</v>
      </c>
      <c r="E34" s="1">
        <v>114.9</v>
      </c>
      <c r="F34" s="1">
        <v>116.2</v>
      </c>
      <c r="G34" s="1">
        <v>112.8</v>
      </c>
      <c r="H34" s="1">
        <v>108.9</v>
      </c>
      <c r="I34" s="1">
        <v>116.6</v>
      </c>
      <c r="J34" s="1">
        <v>178.1</v>
      </c>
      <c r="K34" s="1">
        <v>109.1</v>
      </c>
      <c r="L34" s="1">
        <v>103.6</v>
      </c>
      <c r="M34" s="1">
        <v>109</v>
      </c>
      <c r="N34" s="1">
        <v>111.8</v>
      </c>
      <c r="O34" s="1">
        <v>116</v>
      </c>
      <c r="P34" s="1">
        <v>122.5</v>
      </c>
      <c r="Q34" s="1">
        <v>112.8</v>
      </c>
      <c r="R34" s="1">
        <v>114.6</v>
      </c>
      <c r="S34" s="1">
        <v>113.1</v>
      </c>
      <c r="T34" s="1">
        <v>114.4</v>
      </c>
      <c r="U34" s="1" t="s">
        <v>53</v>
      </c>
      <c r="V34" s="1">
        <v>112.6</v>
      </c>
      <c r="W34" s="1">
        <v>111.3</v>
      </c>
      <c r="X34" s="1">
        <v>109.7</v>
      </c>
      <c r="Y34" s="1">
        <v>109.6</v>
      </c>
      <c r="Z34" s="1">
        <v>108.7</v>
      </c>
      <c r="AA34" s="1">
        <v>111</v>
      </c>
      <c r="AB34" s="1">
        <v>108.2</v>
      </c>
      <c r="AC34" s="1">
        <v>109.8</v>
      </c>
      <c r="AD34" s="1">
        <v>117.4</v>
      </c>
    </row>
    <row r="35" spans="1:30" x14ac:dyDescent="0.3">
      <c r="A35" s="1" t="s">
        <v>32</v>
      </c>
      <c r="B35" s="1">
        <v>2013</v>
      </c>
      <c r="C35" s="1" t="s">
        <v>52</v>
      </c>
      <c r="D35" s="1">
        <v>119.8</v>
      </c>
      <c r="E35" s="1">
        <v>116.3</v>
      </c>
      <c r="F35" s="1">
        <v>122.6</v>
      </c>
      <c r="G35" s="1">
        <v>112</v>
      </c>
      <c r="H35" s="1">
        <v>103.2</v>
      </c>
      <c r="I35" s="1">
        <v>110</v>
      </c>
      <c r="J35" s="1">
        <v>192.8</v>
      </c>
      <c r="K35" s="1">
        <v>106.3</v>
      </c>
      <c r="L35" s="1">
        <v>99.5</v>
      </c>
      <c r="M35" s="1">
        <v>110.3</v>
      </c>
      <c r="N35" s="1">
        <v>111.8</v>
      </c>
      <c r="O35" s="1">
        <v>117.1</v>
      </c>
      <c r="P35" s="1">
        <v>122.9</v>
      </c>
      <c r="Q35" s="1">
        <v>114.1</v>
      </c>
      <c r="R35" s="1">
        <v>113.5</v>
      </c>
      <c r="S35" s="1">
        <v>110.3</v>
      </c>
      <c r="T35" s="1">
        <v>113</v>
      </c>
      <c r="U35" s="1" t="s">
        <v>53</v>
      </c>
      <c r="V35" s="1">
        <v>110</v>
      </c>
      <c r="W35" s="1">
        <v>110.9</v>
      </c>
      <c r="X35" s="1">
        <v>108.6</v>
      </c>
      <c r="Y35" s="1">
        <v>109.5</v>
      </c>
      <c r="Z35" s="1">
        <v>108.5</v>
      </c>
      <c r="AA35" s="1">
        <v>111.3</v>
      </c>
      <c r="AB35" s="1">
        <v>107.9</v>
      </c>
      <c r="AC35" s="1">
        <v>109.6</v>
      </c>
      <c r="AD35" s="1">
        <v>115</v>
      </c>
    </row>
    <row r="36" spans="1:30" x14ac:dyDescent="0.3">
      <c r="A36" s="1" t="s">
        <v>34</v>
      </c>
      <c r="B36" s="1">
        <v>2013</v>
      </c>
      <c r="C36" s="1" t="s">
        <v>52</v>
      </c>
      <c r="D36" s="1">
        <v>118.1</v>
      </c>
      <c r="E36" s="1">
        <v>115.4</v>
      </c>
      <c r="F36" s="1">
        <v>118.7</v>
      </c>
      <c r="G36" s="1">
        <v>112.5</v>
      </c>
      <c r="H36" s="1">
        <v>106.8</v>
      </c>
      <c r="I36" s="1">
        <v>113.5</v>
      </c>
      <c r="J36" s="1">
        <v>183.1</v>
      </c>
      <c r="K36" s="1">
        <v>108.2</v>
      </c>
      <c r="L36" s="1">
        <v>102.2</v>
      </c>
      <c r="M36" s="1">
        <v>109.4</v>
      </c>
      <c r="N36" s="1">
        <v>111.8</v>
      </c>
      <c r="O36" s="1">
        <v>116.5</v>
      </c>
      <c r="P36" s="1">
        <v>122.6</v>
      </c>
      <c r="Q36" s="1">
        <v>113.1</v>
      </c>
      <c r="R36" s="1">
        <v>114.2</v>
      </c>
      <c r="S36" s="1">
        <v>111.9</v>
      </c>
      <c r="T36" s="1">
        <v>113.8</v>
      </c>
      <c r="U36" s="1" t="s">
        <v>53</v>
      </c>
      <c r="V36" s="1">
        <v>111.6</v>
      </c>
      <c r="W36" s="1">
        <v>111.1</v>
      </c>
      <c r="X36" s="1">
        <v>109.3</v>
      </c>
      <c r="Y36" s="1">
        <v>109.5</v>
      </c>
      <c r="Z36" s="1">
        <v>108.6</v>
      </c>
      <c r="AA36" s="1">
        <v>111.2</v>
      </c>
      <c r="AB36" s="1">
        <v>108.1</v>
      </c>
      <c r="AC36" s="1">
        <v>109.7</v>
      </c>
      <c r="AD36" s="1">
        <v>116.3</v>
      </c>
    </row>
    <row r="37" spans="1:30" x14ac:dyDescent="0.3">
      <c r="A37" s="1" t="s">
        <v>30</v>
      </c>
      <c r="B37" s="1">
        <v>2013</v>
      </c>
      <c r="C37" s="1" t="s">
        <v>54</v>
      </c>
      <c r="D37" s="1">
        <v>118.4</v>
      </c>
      <c r="E37" s="1">
        <v>115.9</v>
      </c>
      <c r="F37" s="1">
        <v>120.4</v>
      </c>
      <c r="G37" s="1">
        <v>113.8</v>
      </c>
      <c r="H37" s="1">
        <v>109.5</v>
      </c>
      <c r="I37" s="1">
        <v>115.5</v>
      </c>
      <c r="J37" s="1">
        <v>145.69999999999999</v>
      </c>
      <c r="K37" s="1">
        <v>109.5</v>
      </c>
      <c r="L37" s="1">
        <v>102.9</v>
      </c>
      <c r="M37" s="1">
        <v>109.8</v>
      </c>
      <c r="N37" s="1">
        <v>112.1</v>
      </c>
      <c r="O37" s="1">
        <v>116.8</v>
      </c>
      <c r="P37" s="1">
        <v>118.7</v>
      </c>
      <c r="Q37" s="1">
        <v>113.6</v>
      </c>
      <c r="R37" s="1">
        <v>115.8</v>
      </c>
      <c r="S37" s="1">
        <v>114</v>
      </c>
      <c r="T37" s="1">
        <v>115.5</v>
      </c>
      <c r="U37" s="1" t="s">
        <v>55</v>
      </c>
      <c r="V37" s="1">
        <v>112.8</v>
      </c>
      <c r="W37" s="1">
        <v>112.1</v>
      </c>
      <c r="X37" s="1">
        <v>110.1</v>
      </c>
      <c r="Y37" s="1">
        <v>109.9</v>
      </c>
      <c r="Z37" s="1">
        <v>109.2</v>
      </c>
      <c r="AA37" s="1">
        <v>111.6</v>
      </c>
      <c r="AB37" s="1">
        <v>108.1</v>
      </c>
      <c r="AC37" s="1">
        <v>110.1</v>
      </c>
      <c r="AD37" s="1">
        <v>115.5</v>
      </c>
    </row>
    <row r="38" spans="1:30" x14ac:dyDescent="0.3">
      <c r="A38" s="1" t="s">
        <v>32</v>
      </c>
      <c r="B38" s="1">
        <v>2013</v>
      </c>
      <c r="C38" s="1" t="s">
        <v>54</v>
      </c>
      <c r="D38" s="1">
        <v>120.5</v>
      </c>
      <c r="E38" s="1">
        <v>118.1</v>
      </c>
      <c r="F38" s="1">
        <v>128.5</v>
      </c>
      <c r="G38" s="1">
        <v>112.8</v>
      </c>
      <c r="H38" s="1">
        <v>103.4</v>
      </c>
      <c r="I38" s="1">
        <v>110.7</v>
      </c>
      <c r="J38" s="1">
        <v>144.80000000000001</v>
      </c>
      <c r="K38" s="1">
        <v>107.1</v>
      </c>
      <c r="L38" s="1">
        <v>98.6</v>
      </c>
      <c r="M38" s="1">
        <v>111.9</v>
      </c>
      <c r="N38" s="1">
        <v>112.1</v>
      </c>
      <c r="O38" s="1">
        <v>118.1</v>
      </c>
      <c r="P38" s="1">
        <v>117.8</v>
      </c>
      <c r="Q38" s="1">
        <v>115</v>
      </c>
      <c r="R38" s="1">
        <v>114.2</v>
      </c>
      <c r="S38" s="1">
        <v>110.9</v>
      </c>
      <c r="T38" s="1">
        <v>113.7</v>
      </c>
      <c r="U38" s="1" t="s">
        <v>55</v>
      </c>
      <c r="V38" s="1">
        <v>110.4</v>
      </c>
      <c r="W38" s="1">
        <v>111.3</v>
      </c>
      <c r="X38" s="1">
        <v>109</v>
      </c>
      <c r="Y38" s="1">
        <v>109.7</v>
      </c>
      <c r="Z38" s="1">
        <v>108.9</v>
      </c>
      <c r="AA38" s="1">
        <v>111.4</v>
      </c>
      <c r="AB38" s="1">
        <v>107.7</v>
      </c>
      <c r="AC38" s="1">
        <v>109.8</v>
      </c>
      <c r="AD38" s="1">
        <v>113.3</v>
      </c>
    </row>
    <row r="39" spans="1:30" x14ac:dyDescent="0.3">
      <c r="A39" s="1" t="s">
        <v>34</v>
      </c>
      <c r="B39" s="1">
        <v>2013</v>
      </c>
      <c r="C39" s="1" t="s">
        <v>54</v>
      </c>
      <c r="D39" s="1">
        <v>119.1</v>
      </c>
      <c r="E39" s="1">
        <v>116.7</v>
      </c>
      <c r="F39" s="1">
        <v>123.5</v>
      </c>
      <c r="G39" s="1">
        <v>113.4</v>
      </c>
      <c r="H39" s="1">
        <v>107.3</v>
      </c>
      <c r="I39" s="1">
        <v>113.3</v>
      </c>
      <c r="J39" s="1">
        <v>145.4</v>
      </c>
      <c r="K39" s="1">
        <v>108.7</v>
      </c>
      <c r="L39" s="1">
        <v>101.5</v>
      </c>
      <c r="M39" s="1">
        <v>110.5</v>
      </c>
      <c r="N39" s="1">
        <v>112.1</v>
      </c>
      <c r="O39" s="1">
        <v>117.4</v>
      </c>
      <c r="P39" s="1">
        <v>118.4</v>
      </c>
      <c r="Q39" s="1">
        <v>114</v>
      </c>
      <c r="R39" s="1">
        <v>115.2</v>
      </c>
      <c r="S39" s="1">
        <v>112.7</v>
      </c>
      <c r="T39" s="1">
        <v>114.8</v>
      </c>
      <c r="U39" s="1" t="s">
        <v>55</v>
      </c>
      <c r="V39" s="1">
        <v>111.9</v>
      </c>
      <c r="W39" s="1">
        <v>111.7</v>
      </c>
      <c r="X39" s="1">
        <v>109.7</v>
      </c>
      <c r="Y39" s="1">
        <v>109.8</v>
      </c>
      <c r="Z39" s="1">
        <v>109</v>
      </c>
      <c r="AA39" s="1">
        <v>111.5</v>
      </c>
      <c r="AB39" s="1">
        <v>107.9</v>
      </c>
      <c r="AC39" s="1">
        <v>110</v>
      </c>
      <c r="AD39" s="1">
        <v>114.5</v>
      </c>
    </row>
    <row r="40" spans="1:30" x14ac:dyDescent="0.3">
      <c r="A40" s="1" t="s">
        <v>30</v>
      </c>
      <c r="B40" s="1">
        <v>2014</v>
      </c>
      <c r="C40" s="1" t="s">
        <v>31</v>
      </c>
      <c r="D40" s="1">
        <v>118.9</v>
      </c>
      <c r="E40" s="1">
        <v>117.1</v>
      </c>
      <c r="F40" s="1">
        <v>120.5</v>
      </c>
      <c r="G40" s="1">
        <v>114.4</v>
      </c>
      <c r="H40" s="1">
        <v>109</v>
      </c>
      <c r="I40" s="1">
        <v>115.5</v>
      </c>
      <c r="J40" s="1">
        <v>123.9</v>
      </c>
      <c r="K40" s="1">
        <v>109.6</v>
      </c>
      <c r="L40" s="1">
        <v>101.8</v>
      </c>
      <c r="M40" s="1">
        <v>110.2</v>
      </c>
      <c r="N40" s="1">
        <v>112.4</v>
      </c>
      <c r="O40" s="1">
        <v>117.3</v>
      </c>
      <c r="P40" s="1">
        <v>116</v>
      </c>
      <c r="Q40" s="1">
        <v>114</v>
      </c>
      <c r="R40" s="1">
        <v>116.5</v>
      </c>
      <c r="S40" s="1">
        <v>114.5</v>
      </c>
      <c r="T40" s="1">
        <v>116.2</v>
      </c>
      <c r="U40" s="1" t="s">
        <v>56</v>
      </c>
      <c r="V40" s="1">
        <v>113</v>
      </c>
      <c r="W40" s="1">
        <v>112.6</v>
      </c>
      <c r="X40" s="1">
        <v>110.6</v>
      </c>
      <c r="Y40" s="1">
        <v>110.5</v>
      </c>
      <c r="Z40" s="1">
        <v>109.6</v>
      </c>
      <c r="AA40" s="1">
        <v>111.8</v>
      </c>
      <c r="AB40" s="1">
        <v>108.3</v>
      </c>
      <c r="AC40" s="1">
        <v>110.6</v>
      </c>
      <c r="AD40" s="1">
        <v>114.2</v>
      </c>
    </row>
    <row r="41" spans="1:30" x14ac:dyDescent="0.3">
      <c r="A41" s="1" t="s">
        <v>32</v>
      </c>
      <c r="B41" s="1">
        <v>2014</v>
      </c>
      <c r="C41" s="1" t="s">
        <v>31</v>
      </c>
      <c r="D41" s="1">
        <v>121.2</v>
      </c>
      <c r="E41" s="1">
        <v>122</v>
      </c>
      <c r="F41" s="1">
        <v>129.9</v>
      </c>
      <c r="G41" s="1">
        <v>113.6</v>
      </c>
      <c r="H41" s="1">
        <v>102.9</v>
      </c>
      <c r="I41" s="1">
        <v>112.1</v>
      </c>
      <c r="J41" s="1">
        <v>118.9</v>
      </c>
      <c r="K41" s="1">
        <v>107.5</v>
      </c>
      <c r="L41" s="1">
        <v>96.9</v>
      </c>
      <c r="M41" s="1">
        <v>112.7</v>
      </c>
      <c r="N41" s="1">
        <v>112.1</v>
      </c>
      <c r="O41" s="1">
        <v>119</v>
      </c>
      <c r="P41" s="1">
        <v>115.5</v>
      </c>
      <c r="Q41" s="1">
        <v>115.7</v>
      </c>
      <c r="R41" s="1">
        <v>114.8</v>
      </c>
      <c r="S41" s="1">
        <v>111.3</v>
      </c>
      <c r="T41" s="1">
        <v>114.3</v>
      </c>
      <c r="U41" s="1" t="s">
        <v>56</v>
      </c>
      <c r="V41" s="1">
        <v>111</v>
      </c>
      <c r="W41" s="1">
        <v>111.9</v>
      </c>
      <c r="X41" s="1">
        <v>109.7</v>
      </c>
      <c r="Y41" s="1">
        <v>110.8</v>
      </c>
      <c r="Z41" s="1">
        <v>109.8</v>
      </c>
      <c r="AA41" s="1">
        <v>111.5</v>
      </c>
      <c r="AB41" s="1">
        <v>108</v>
      </c>
      <c r="AC41" s="1">
        <v>110.5</v>
      </c>
      <c r="AD41" s="1">
        <v>112.9</v>
      </c>
    </row>
    <row r="42" spans="1:30" x14ac:dyDescent="0.3">
      <c r="A42" s="1" t="s">
        <v>34</v>
      </c>
      <c r="B42" s="1">
        <v>2014</v>
      </c>
      <c r="C42" s="1" t="s">
        <v>31</v>
      </c>
      <c r="D42" s="1">
        <v>119.6</v>
      </c>
      <c r="E42" s="1">
        <v>118.8</v>
      </c>
      <c r="F42" s="1">
        <v>124.1</v>
      </c>
      <c r="G42" s="1">
        <v>114.1</v>
      </c>
      <c r="H42" s="1">
        <v>106.8</v>
      </c>
      <c r="I42" s="1">
        <v>113.9</v>
      </c>
      <c r="J42" s="1">
        <v>122.2</v>
      </c>
      <c r="K42" s="1">
        <v>108.9</v>
      </c>
      <c r="L42" s="1">
        <v>100.2</v>
      </c>
      <c r="M42" s="1">
        <v>111</v>
      </c>
      <c r="N42" s="1">
        <v>112.3</v>
      </c>
      <c r="O42" s="1">
        <v>118.1</v>
      </c>
      <c r="P42" s="1">
        <v>115.8</v>
      </c>
      <c r="Q42" s="1">
        <v>114.5</v>
      </c>
      <c r="R42" s="1">
        <v>115.8</v>
      </c>
      <c r="S42" s="1">
        <v>113.2</v>
      </c>
      <c r="T42" s="1">
        <v>115.4</v>
      </c>
      <c r="U42" s="1" t="s">
        <v>56</v>
      </c>
      <c r="V42" s="1">
        <v>112.2</v>
      </c>
      <c r="W42" s="1">
        <v>112.3</v>
      </c>
      <c r="X42" s="1">
        <v>110.3</v>
      </c>
      <c r="Y42" s="1">
        <v>110.7</v>
      </c>
      <c r="Z42" s="1">
        <v>109.7</v>
      </c>
      <c r="AA42" s="1">
        <v>111.6</v>
      </c>
      <c r="AB42" s="1">
        <v>108.2</v>
      </c>
      <c r="AC42" s="1">
        <v>110.6</v>
      </c>
      <c r="AD42" s="1">
        <v>113.6</v>
      </c>
    </row>
    <row r="43" spans="1:30" x14ac:dyDescent="0.3">
      <c r="A43" s="1" t="s">
        <v>30</v>
      </c>
      <c r="B43" s="1">
        <v>2014</v>
      </c>
      <c r="C43" s="1" t="s">
        <v>35</v>
      </c>
      <c r="D43" s="1">
        <v>119.4</v>
      </c>
      <c r="E43" s="1">
        <v>117.7</v>
      </c>
      <c r="F43" s="1">
        <v>121.2</v>
      </c>
      <c r="G43" s="1">
        <v>115</v>
      </c>
      <c r="H43" s="1">
        <v>109</v>
      </c>
      <c r="I43" s="1">
        <v>116.6</v>
      </c>
      <c r="J43" s="1">
        <v>116</v>
      </c>
      <c r="K43" s="1">
        <v>109.8</v>
      </c>
      <c r="L43" s="1">
        <v>101.1</v>
      </c>
      <c r="M43" s="1">
        <v>110.4</v>
      </c>
      <c r="N43" s="1">
        <v>112.9</v>
      </c>
      <c r="O43" s="1">
        <v>117.8</v>
      </c>
      <c r="P43" s="1">
        <v>115.3</v>
      </c>
      <c r="Q43" s="1">
        <v>114.2</v>
      </c>
      <c r="R43" s="1">
        <v>117.1</v>
      </c>
      <c r="S43" s="1">
        <v>114.5</v>
      </c>
      <c r="T43" s="1">
        <v>116.7</v>
      </c>
      <c r="U43" s="1" t="s">
        <v>57</v>
      </c>
      <c r="V43" s="1">
        <v>113.2</v>
      </c>
      <c r="W43" s="1">
        <v>112.9</v>
      </c>
      <c r="X43" s="1">
        <v>110.9</v>
      </c>
      <c r="Y43" s="1">
        <v>110.8</v>
      </c>
      <c r="Z43" s="1">
        <v>109.9</v>
      </c>
      <c r="AA43" s="1">
        <v>112</v>
      </c>
      <c r="AB43" s="1">
        <v>108.7</v>
      </c>
      <c r="AC43" s="1">
        <v>110.9</v>
      </c>
      <c r="AD43" s="1">
        <v>114</v>
      </c>
    </row>
    <row r="44" spans="1:30" x14ac:dyDescent="0.3">
      <c r="A44" s="1" t="s">
        <v>32</v>
      </c>
      <c r="B44" s="1">
        <v>2014</v>
      </c>
      <c r="C44" s="1" t="s">
        <v>35</v>
      </c>
      <c r="D44" s="1">
        <v>121.9</v>
      </c>
      <c r="E44" s="1">
        <v>122</v>
      </c>
      <c r="F44" s="1">
        <v>124.5</v>
      </c>
      <c r="G44" s="1">
        <v>115.2</v>
      </c>
      <c r="H44" s="1">
        <v>102.5</v>
      </c>
      <c r="I44" s="1">
        <v>114.1</v>
      </c>
      <c r="J44" s="1">
        <v>111.5</v>
      </c>
      <c r="K44" s="1">
        <v>108.2</v>
      </c>
      <c r="L44" s="1">
        <v>95.4</v>
      </c>
      <c r="M44" s="1">
        <v>113.5</v>
      </c>
      <c r="N44" s="1">
        <v>112.1</v>
      </c>
      <c r="O44" s="1">
        <v>119.9</v>
      </c>
      <c r="P44" s="1">
        <v>115.2</v>
      </c>
      <c r="Q44" s="1">
        <v>116.2</v>
      </c>
      <c r="R44" s="1">
        <v>115.3</v>
      </c>
      <c r="S44" s="1">
        <v>111.7</v>
      </c>
      <c r="T44" s="1">
        <v>114.7</v>
      </c>
      <c r="U44" s="1" t="s">
        <v>57</v>
      </c>
      <c r="V44" s="1">
        <v>111.1</v>
      </c>
      <c r="W44" s="1">
        <v>112.6</v>
      </c>
      <c r="X44" s="1">
        <v>110.4</v>
      </c>
      <c r="Y44" s="1">
        <v>111.3</v>
      </c>
      <c r="Z44" s="1">
        <v>110.3</v>
      </c>
      <c r="AA44" s="1">
        <v>111.6</v>
      </c>
      <c r="AB44" s="1">
        <v>108.7</v>
      </c>
      <c r="AC44" s="1">
        <v>111</v>
      </c>
      <c r="AD44" s="1">
        <v>113.1</v>
      </c>
    </row>
    <row r="45" spans="1:30" x14ac:dyDescent="0.3">
      <c r="A45" s="1" t="s">
        <v>34</v>
      </c>
      <c r="B45" s="1">
        <v>2014</v>
      </c>
      <c r="C45" s="1" t="s">
        <v>35</v>
      </c>
      <c r="D45" s="1">
        <v>120.2</v>
      </c>
      <c r="E45" s="1">
        <v>119.2</v>
      </c>
      <c r="F45" s="1">
        <v>122.5</v>
      </c>
      <c r="G45" s="1">
        <v>115.1</v>
      </c>
      <c r="H45" s="1">
        <v>106.6</v>
      </c>
      <c r="I45" s="1">
        <v>115.4</v>
      </c>
      <c r="J45" s="1">
        <v>114.5</v>
      </c>
      <c r="K45" s="1">
        <v>109.3</v>
      </c>
      <c r="L45" s="1">
        <v>99.2</v>
      </c>
      <c r="M45" s="1">
        <v>111.4</v>
      </c>
      <c r="N45" s="1">
        <v>112.6</v>
      </c>
      <c r="O45" s="1">
        <v>118.8</v>
      </c>
      <c r="P45" s="1">
        <v>115.3</v>
      </c>
      <c r="Q45" s="1">
        <v>114.7</v>
      </c>
      <c r="R45" s="1">
        <v>116.4</v>
      </c>
      <c r="S45" s="1">
        <v>113.3</v>
      </c>
      <c r="T45" s="1">
        <v>115.9</v>
      </c>
      <c r="U45" s="1" t="s">
        <v>57</v>
      </c>
      <c r="V45" s="1">
        <v>112.4</v>
      </c>
      <c r="W45" s="1">
        <v>112.8</v>
      </c>
      <c r="X45" s="1">
        <v>110.7</v>
      </c>
      <c r="Y45" s="1">
        <v>111.1</v>
      </c>
      <c r="Z45" s="1">
        <v>110.1</v>
      </c>
      <c r="AA45" s="1">
        <v>111.8</v>
      </c>
      <c r="AB45" s="1">
        <v>108.7</v>
      </c>
      <c r="AC45" s="1">
        <v>110.9</v>
      </c>
      <c r="AD45" s="1">
        <v>113.6</v>
      </c>
    </row>
    <row r="46" spans="1:30" x14ac:dyDescent="0.3">
      <c r="A46" s="1" t="s">
        <v>30</v>
      </c>
      <c r="B46" s="1">
        <v>2014</v>
      </c>
      <c r="C46" s="1" t="s">
        <v>37</v>
      </c>
      <c r="D46" s="1">
        <v>120.1</v>
      </c>
      <c r="E46" s="1">
        <v>118.1</v>
      </c>
      <c r="F46" s="1">
        <v>120.7</v>
      </c>
      <c r="G46" s="1">
        <v>116.1</v>
      </c>
      <c r="H46" s="1">
        <v>109.3</v>
      </c>
      <c r="I46" s="1">
        <v>119.6</v>
      </c>
      <c r="J46" s="1">
        <v>117.9</v>
      </c>
      <c r="K46" s="1">
        <v>110.2</v>
      </c>
      <c r="L46" s="1">
        <v>101.2</v>
      </c>
      <c r="M46" s="1">
        <v>110.7</v>
      </c>
      <c r="N46" s="1">
        <v>113</v>
      </c>
      <c r="O46" s="1">
        <v>118.3</v>
      </c>
      <c r="P46" s="1">
        <v>116.2</v>
      </c>
      <c r="Q46" s="1">
        <v>114.6</v>
      </c>
      <c r="R46" s="1">
        <v>117.5</v>
      </c>
      <c r="S46" s="1">
        <v>114.9</v>
      </c>
      <c r="T46" s="1">
        <v>117.2</v>
      </c>
      <c r="U46" s="1" t="s">
        <v>58</v>
      </c>
      <c r="V46" s="1">
        <v>113.4</v>
      </c>
      <c r="W46" s="1">
        <v>113.4</v>
      </c>
      <c r="X46" s="1">
        <v>111.4</v>
      </c>
      <c r="Y46" s="1">
        <v>111.2</v>
      </c>
      <c r="Z46" s="1">
        <v>110.2</v>
      </c>
      <c r="AA46" s="1">
        <v>112.4</v>
      </c>
      <c r="AB46" s="1">
        <v>108.9</v>
      </c>
      <c r="AC46" s="1">
        <v>111.3</v>
      </c>
      <c r="AD46" s="1">
        <v>114.6</v>
      </c>
    </row>
    <row r="47" spans="1:30" x14ac:dyDescent="0.3">
      <c r="A47" s="1" t="s">
        <v>32</v>
      </c>
      <c r="B47" s="1">
        <v>2014</v>
      </c>
      <c r="C47" s="1" t="s">
        <v>37</v>
      </c>
      <c r="D47" s="1">
        <v>122.1</v>
      </c>
      <c r="E47" s="1">
        <v>121.4</v>
      </c>
      <c r="F47" s="1">
        <v>121.5</v>
      </c>
      <c r="G47" s="1">
        <v>116.2</v>
      </c>
      <c r="H47" s="1">
        <v>102.8</v>
      </c>
      <c r="I47" s="1">
        <v>117.7</v>
      </c>
      <c r="J47" s="1">
        <v>113.3</v>
      </c>
      <c r="K47" s="1">
        <v>108.9</v>
      </c>
      <c r="L47" s="1">
        <v>96.3</v>
      </c>
      <c r="M47" s="1">
        <v>114.1</v>
      </c>
      <c r="N47" s="1">
        <v>112.2</v>
      </c>
      <c r="O47" s="1">
        <v>120.5</v>
      </c>
      <c r="P47" s="1">
        <v>116</v>
      </c>
      <c r="Q47" s="1">
        <v>116.7</v>
      </c>
      <c r="R47" s="1">
        <v>115.8</v>
      </c>
      <c r="S47" s="1">
        <v>112.1</v>
      </c>
      <c r="T47" s="1">
        <v>115.2</v>
      </c>
      <c r="U47" s="1" t="s">
        <v>58</v>
      </c>
      <c r="V47" s="1">
        <v>110.9</v>
      </c>
      <c r="W47" s="1">
        <v>113</v>
      </c>
      <c r="X47" s="1">
        <v>110.8</v>
      </c>
      <c r="Y47" s="1">
        <v>111.6</v>
      </c>
      <c r="Z47" s="1">
        <v>110.9</v>
      </c>
      <c r="AA47" s="1">
        <v>111.8</v>
      </c>
      <c r="AB47" s="1">
        <v>109.2</v>
      </c>
      <c r="AC47" s="1">
        <v>111.4</v>
      </c>
      <c r="AD47" s="1">
        <v>113.7</v>
      </c>
    </row>
    <row r="48" spans="1:30" x14ac:dyDescent="0.3">
      <c r="A48" s="1" t="s">
        <v>34</v>
      </c>
      <c r="B48" s="1">
        <v>2014</v>
      </c>
      <c r="C48" s="1" t="s">
        <v>59</v>
      </c>
      <c r="D48" s="1">
        <v>120.7</v>
      </c>
      <c r="E48" s="1">
        <v>119.3</v>
      </c>
      <c r="F48" s="1">
        <v>121</v>
      </c>
      <c r="G48" s="1">
        <v>116.1</v>
      </c>
      <c r="H48" s="1">
        <v>106.9</v>
      </c>
      <c r="I48" s="1">
        <v>118.7</v>
      </c>
      <c r="J48" s="1">
        <v>116.3</v>
      </c>
      <c r="K48" s="1">
        <v>109.8</v>
      </c>
      <c r="L48" s="1">
        <v>99.6</v>
      </c>
      <c r="M48" s="1">
        <v>111.8</v>
      </c>
      <c r="N48" s="1">
        <v>112.7</v>
      </c>
      <c r="O48" s="1">
        <v>119.3</v>
      </c>
      <c r="P48" s="1">
        <v>116.1</v>
      </c>
      <c r="Q48" s="1">
        <v>115.2</v>
      </c>
      <c r="R48" s="1">
        <v>116.8</v>
      </c>
      <c r="S48" s="1">
        <v>113.7</v>
      </c>
      <c r="T48" s="1">
        <v>116.4</v>
      </c>
      <c r="U48" s="1" t="s">
        <v>58</v>
      </c>
      <c r="V48" s="1">
        <v>112.5</v>
      </c>
      <c r="W48" s="1">
        <v>113.2</v>
      </c>
      <c r="X48" s="1">
        <v>111.2</v>
      </c>
      <c r="Y48" s="1">
        <v>111.4</v>
      </c>
      <c r="Z48" s="1">
        <v>110.6</v>
      </c>
      <c r="AA48" s="1">
        <v>112</v>
      </c>
      <c r="AB48" s="1">
        <v>109</v>
      </c>
      <c r="AC48" s="1">
        <v>111.3</v>
      </c>
      <c r="AD48" s="1">
        <v>114.2</v>
      </c>
    </row>
    <row r="49" spans="1:30" x14ac:dyDescent="0.3">
      <c r="A49" s="1" t="s">
        <v>30</v>
      </c>
      <c r="B49" s="1">
        <v>2014</v>
      </c>
      <c r="C49" s="1" t="s">
        <v>38</v>
      </c>
      <c r="D49" s="1">
        <v>120.2</v>
      </c>
      <c r="E49" s="1">
        <v>118.9</v>
      </c>
      <c r="F49" s="1">
        <v>118.1</v>
      </c>
      <c r="G49" s="1">
        <v>117</v>
      </c>
      <c r="H49" s="1">
        <v>109.7</v>
      </c>
      <c r="I49" s="1">
        <v>125.5</v>
      </c>
      <c r="J49" s="1">
        <v>120.5</v>
      </c>
      <c r="K49" s="1">
        <v>111</v>
      </c>
      <c r="L49" s="1">
        <v>102.6</v>
      </c>
      <c r="M49" s="1">
        <v>111.2</v>
      </c>
      <c r="N49" s="1">
        <v>113.5</v>
      </c>
      <c r="O49" s="1">
        <v>118.7</v>
      </c>
      <c r="P49" s="1">
        <v>117.2</v>
      </c>
      <c r="Q49" s="1">
        <v>115.4</v>
      </c>
      <c r="R49" s="1">
        <v>118.1</v>
      </c>
      <c r="S49" s="1">
        <v>116.1</v>
      </c>
      <c r="T49" s="1">
        <v>117.8</v>
      </c>
      <c r="U49" s="1" t="s">
        <v>60</v>
      </c>
      <c r="V49" s="1">
        <v>113.4</v>
      </c>
      <c r="W49" s="1">
        <v>113.7</v>
      </c>
      <c r="X49" s="1">
        <v>111.8</v>
      </c>
      <c r="Y49" s="1">
        <v>111.2</v>
      </c>
      <c r="Z49" s="1">
        <v>110.5</v>
      </c>
      <c r="AA49" s="1">
        <v>113</v>
      </c>
      <c r="AB49" s="1">
        <v>108.9</v>
      </c>
      <c r="AC49" s="1">
        <v>111.5</v>
      </c>
      <c r="AD49" s="1">
        <v>115.4</v>
      </c>
    </row>
    <row r="50" spans="1:30" x14ac:dyDescent="0.3">
      <c r="A50" s="1" t="s">
        <v>32</v>
      </c>
      <c r="B50" s="1">
        <v>2014</v>
      </c>
      <c r="C50" s="1" t="s">
        <v>38</v>
      </c>
      <c r="D50" s="1">
        <v>122.5</v>
      </c>
      <c r="E50" s="1">
        <v>121.7</v>
      </c>
      <c r="F50" s="1">
        <v>113.3</v>
      </c>
      <c r="G50" s="1">
        <v>117</v>
      </c>
      <c r="H50" s="1">
        <v>103.1</v>
      </c>
      <c r="I50" s="1">
        <v>126.7</v>
      </c>
      <c r="J50" s="1">
        <v>121.2</v>
      </c>
      <c r="K50" s="1">
        <v>111</v>
      </c>
      <c r="L50" s="1">
        <v>100.3</v>
      </c>
      <c r="M50" s="1">
        <v>115.3</v>
      </c>
      <c r="N50" s="1">
        <v>112.7</v>
      </c>
      <c r="O50" s="1">
        <v>121</v>
      </c>
      <c r="P50" s="1">
        <v>118.2</v>
      </c>
      <c r="Q50" s="1">
        <v>117.6</v>
      </c>
      <c r="R50" s="1">
        <v>116.3</v>
      </c>
      <c r="S50" s="1">
        <v>112.5</v>
      </c>
      <c r="T50" s="1">
        <v>115.7</v>
      </c>
      <c r="U50" s="1" t="s">
        <v>60</v>
      </c>
      <c r="V50" s="1">
        <v>110.9</v>
      </c>
      <c r="W50" s="1">
        <v>113.4</v>
      </c>
      <c r="X50" s="1">
        <v>111</v>
      </c>
      <c r="Y50" s="1">
        <v>111.2</v>
      </c>
      <c r="Z50" s="1">
        <v>111.2</v>
      </c>
      <c r="AA50" s="1">
        <v>112.5</v>
      </c>
      <c r="AB50" s="1">
        <v>109.1</v>
      </c>
      <c r="AC50" s="1">
        <v>111.4</v>
      </c>
      <c r="AD50" s="1">
        <v>114.7</v>
      </c>
    </row>
    <row r="51" spans="1:30" x14ac:dyDescent="0.3">
      <c r="A51" s="1" t="s">
        <v>34</v>
      </c>
      <c r="B51" s="1">
        <v>2014</v>
      </c>
      <c r="C51" s="1" t="s">
        <v>38</v>
      </c>
      <c r="D51" s="1">
        <v>120.9</v>
      </c>
      <c r="E51" s="1">
        <v>119.9</v>
      </c>
      <c r="F51" s="1">
        <v>116.2</v>
      </c>
      <c r="G51" s="1">
        <v>117</v>
      </c>
      <c r="H51" s="1">
        <v>107.3</v>
      </c>
      <c r="I51" s="1">
        <v>126.1</v>
      </c>
      <c r="J51" s="1">
        <v>120.7</v>
      </c>
      <c r="K51" s="1">
        <v>111</v>
      </c>
      <c r="L51" s="1">
        <v>101.8</v>
      </c>
      <c r="M51" s="1">
        <v>112.6</v>
      </c>
      <c r="N51" s="1">
        <v>113.2</v>
      </c>
      <c r="O51" s="1">
        <v>119.8</v>
      </c>
      <c r="P51" s="1">
        <v>117.6</v>
      </c>
      <c r="Q51" s="1">
        <v>116</v>
      </c>
      <c r="R51" s="1">
        <v>117.4</v>
      </c>
      <c r="S51" s="1">
        <v>114.6</v>
      </c>
      <c r="T51" s="1">
        <v>117</v>
      </c>
      <c r="U51" s="1" t="s">
        <v>60</v>
      </c>
      <c r="V51" s="1">
        <v>112.5</v>
      </c>
      <c r="W51" s="1">
        <v>113.6</v>
      </c>
      <c r="X51" s="1">
        <v>111.5</v>
      </c>
      <c r="Y51" s="1">
        <v>111.2</v>
      </c>
      <c r="Z51" s="1">
        <v>110.9</v>
      </c>
      <c r="AA51" s="1">
        <v>112.7</v>
      </c>
      <c r="AB51" s="1">
        <v>109</v>
      </c>
      <c r="AC51" s="1">
        <v>111.5</v>
      </c>
      <c r="AD51" s="1">
        <v>115.1</v>
      </c>
    </row>
    <row r="52" spans="1:30" x14ac:dyDescent="0.3">
      <c r="A52" s="1" t="s">
        <v>30</v>
      </c>
      <c r="B52" s="1">
        <v>2014</v>
      </c>
      <c r="C52" s="1" t="s">
        <v>40</v>
      </c>
      <c r="D52" s="1">
        <v>120.3</v>
      </c>
      <c r="E52" s="1">
        <v>120.2</v>
      </c>
      <c r="F52" s="1">
        <v>116.9</v>
      </c>
      <c r="G52" s="1">
        <v>118</v>
      </c>
      <c r="H52" s="1">
        <v>110.1</v>
      </c>
      <c r="I52" s="1">
        <v>126.3</v>
      </c>
      <c r="J52" s="1">
        <v>123.9</v>
      </c>
      <c r="K52" s="1">
        <v>111.5</v>
      </c>
      <c r="L52" s="1">
        <v>103.5</v>
      </c>
      <c r="M52" s="1">
        <v>111.6</v>
      </c>
      <c r="N52" s="1">
        <v>114.2</v>
      </c>
      <c r="O52" s="1">
        <v>119.2</v>
      </c>
      <c r="P52" s="1">
        <v>118.2</v>
      </c>
      <c r="Q52" s="1">
        <v>116.3</v>
      </c>
      <c r="R52" s="1">
        <v>118.7</v>
      </c>
      <c r="S52" s="1">
        <v>116.8</v>
      </c>
      <c r="T52" s="1">
        <v>118.5</v>
      </c>
      <c r="U52" s="1" t="s">
        <v>61</v>
      </c>
      <c r="V52" s="1">
        <v>113.4</v>
      </c>
      <c r="W52" s="1">
        <v>114.1</v>
      </c>
      <c r="X52" s="1">
        <v>112.1</v>
      </c>
      <c r="Y52" s="1">
        <v>111.4</v>
      </c>
      <c r="Z52" s="1">
        <v>110.9</v>
      </c>
      <c r="AA52" s="1">
        <v>113.1</v>
      </c>
      <c r="AB52" s="1">
        <v>108.9</v>
      </c>
      <c r="AC52" s="1">
        <v>111.8</v>
      </c>
      <c r="AD52" s="1">
        <v>116</v>
      </c>
    </row>
    <row r="53" spans="1:30" x14ac:dyDescent="0.3">
      <c r="A53" s="1" t="s">
        <v>32</v>
      </c>
      <c r="B53" s="1">
        <v>2014</v>
      </c>
      <c r="C53" s="1" t="s">
        <v>40</v>
      </c>
      <c r="D53" s="1">
        <v>122.7</v>
      </c>
      <c r="E53" s="1">
        <v>124.1</v>
      </c>
      <c r="F53" s="1">
        <v>114.2</v>
      </c>
      <c r="G53" s="1">
        <v>119.1</v>
      </c>
      <c r="H53" s="1">
        <v>103.5</v>
      </c>
      <c r="I53" s="1">
        <v>129.19999999999999</v>
      </c>
      <c r="J53" s="1">
        <v>127</v>
      </c>
      <c r="K53" s="1">
        <v>112.6</v>
      </c>
      <c r="L53" s="1">
        <v>101.3</v>
      </c>
      <c r="M53" s="1">
        <v>117</v>
      </c>
      <c r="N53" s="1">
        <v>112.9</v>
      </c>
      <c r="O53" s="1">
        <v>121.7</v>
      </c>
      <c r="P53" s="1">
        <v>120</v>
      </c>
      <c r="Q53" s="1">
        <v>118.3</v>
      </c>
      <c r="R53" s="1">
        <v>116.8</v>
      </c>
      <c r="S53" s="1">
        <v>112.9</v>
      </c>
      <c r="T53" s="1">
        <v>116.2</v>
      </c>
      <c r="U53" s="1" t="s">
        <v>61</v>
      </c>
      <c r="V53" s="1">
        <v>111.1</v>
      </c>
      <c r="W53" s="1">
        <v>114.1</v>
      </c>
      <c r="X53" s="1">
        <v>111.2</v>
      </c>
      <c r="Y53" s="1">
        <v>111.3</v>
      </c>
      <c r="Z53" s="1">
        <v>111.5</v>
      </c>
      <c r="AA53" s="1">
        <v>112.9</v>
      </c>
      <c r="AB53" s="1">
        <v>109.3</v>
      </c>
      <c r="AC53" s="1">
        <v>111.7</v>
      </c>
      <c r="AD53" s="1">
        <v>115.6</v>
      </c>
    </row>
    <row r="54" spans="1:30" x14ac:dyDescent="0.3">
      <c r="A54" s="1" t="s">
        <v>34</v>
      </c>
      <c r="B54" s="1">
        <v>2014</v>
      </c>
      <c r="C54" s="1" t="s">
        <v>40</v>
      </c>
      <c r="D54" s="1">
        <v>121.1</v>
      </c>
      <c r="E54" s="1">
        <v>121.6</v>
      </c>
      <c r="F54" s="1">
        <v>115.9</v>
      </c>
      <c r="G54" s="1">
        <v>118.4</v>
      </c>
      <c r="H54" s="1">
        <v>107.7</v>
      </c>
      <c r="I54" s="1">
        <v>127.7</v>
      </c>
      <c r="J54" s="1">
        <v>125</v>
      </c>
      <c r="K54" s="1">
        <v>111.9</v>
      </c>
      <c r="L54" s="1">
        <v>102.8</v>
      </c>
      <c r="M54" s="1">
        <v>113.4</v>
      </c>
      <c r="N54" s="1">
        <v>113.7</v>
      </c>
      <c r="O54" s="1">
        <v>120.4</v>
      </c>
      <c r="P54" s="1">
        <v>118.9</v>
      </c>
      <c r="Q54" s="1">
        <v>116.8</v>
      </c>
      <c r="R54" s="1">
        <v>118</v>
      </c>
      <c r="S54" s="1">
        <v>115.2</v>
      </c>
      <c r="T54" s="1">
        <v>117.6</v>
      </c>
      <c r="U54" s="1" t="s">
        <v>61</v>
      </c>
      <c r="V54" s="1">
        <v>112.5</v>
      </c>
      <c r="W54" s="1">
        <v>114.1</v>
      </c>
      <c r="X54" s="1">
        <v>111.8</v>
      </c>
      <c r="Y54" s="1">
        <v>111.3</v>
      </c>
      <c r="Z54" s="1">
        <v>111.2</v>
      </c>
      <c r="AA54" s="1">
        <v>113</v>
      </c>
      <c r="AB54" s="1">
        <v>109.1</v>
      </c>
      <c r="AC54" s="1">
        <v>111.8</v>
      </c>
      <c r="AD54" s="1">
        <v>115.8</v>
      </c>
    </row>
    <row r="55" spans="1:30" x14ac:dyDescent="0.3">
      <c r="A55" s="1" t="s">
        <v>30</v>
      </c>
      <c r="B55" s="1">
        <v>2014</v>
      </c>
      <c r="C55" s="1" t="s">
        <v>41</v>
      </c>
      <c r="D55" s="1">
        <v>120.7</v>
      </c>
      <c r="E55" s="1">
        <v>121.6</v>
      </c>
      <c r="F55" s="1">
        <v>116.1</v>
      </c>
      <c r="G55" s="1">
        <v>119.3</v>
      </c>
      <c r="H55" s="1">
        <v>110.3</v>
      </c>
      <c r="I55" s="1">
        <v>125.8</v>
      </c>
      <c r="J55" s="1">
        <v>129.30000000000001</v>
      </c>
      <c r="K55" s="1">
        <v>112.2</v>
      </c>
      <c r="L55" s="1">
        <v>103.6</v>
      </c>
      <c r="M55" s="1">
        <v>112.3</v>
      </c>
      <c r="N55" s="1">
        <v>114.9</v>
      </c>
      <c r="O55" s="1">
        <v>120.1</v>
      </c>
      <c r="P55" s="1">
        <v>119.5</v>
      </c>
      <c r="Q55" s="1">
        <v>117.3</v>
      </c>
      <c r="R55" s="1">
        <v>119.7</v>
      </c>
      <c r="S55" s="1">
        <v>117.3</v>
      </c>
      <c r="T55" s="1">
        <v>119.3</v>
      </c>
      <c r="U55" s="1" t="s">
        <v>60</v>
      </c>
      <c r="V55" s="1">
        <v>114.4</v>
      </c>
      <c r="W55" s="1">
        <v>114.9</v>
      </c>
      <c r="X55" s="1">
        <v>112.8</v>
      </c>
      <c r="Y55" s="1">
        <v>112.2</v>
      </c>
      <c r="Z55" s="1">
        <v>111.4</v>
      </c>
      <c r="AA55" s="1">
        <v>114.3</v>
      </c>
      <c r="AB55" s="1">
        <v>108</v>
      </c>
      <c r="AC55" s="1">
        <v>112.3</v>
      </c>
      <c r="AD55" s="1">
        <v>117</v>
      </c>
    </row>
    <row r="56" spans="1:30" x14ac:dyDescent="0.3">
      <c r="A56" s="1" t="s">
        <v>32</v>
      </c>
      <c r="B56" s="1">
        <v>2014</v>
      </c>
      <c r="C56" s="1" t="s">
        <v>41</v>
      </c>
      <c r="D56" s="1">
        <v>123.1</v>
      </c>
      <c r="E56" s="1">
        <v>125.9</v>
      </c>
      <c r="F56" s="1">
        <v>115.4</v>
      </c>
      <c r="G56" s="1">
        <v>120.4</v>
      </c>
      <c r="H56" s="1">
        <v>103.4</v>
      </c>
      <c r="I56" s="1">
        <v>131.19999999999999</v>
      </c>
      <c r="J56" s="1">
        <v>137.5</v>
      </c>
      <c r="K56" s="1">
        <v>112.8</v>
      </c>
      <c r="L56" s="1">
        <v>101.4</v>
      </c>
      <c r="M56" s="1">
        <v>118.3</v>
      </c>
      <c r="N56" s="1">
        <v>113.2</v>
      </c>
      <c r="O56" s="1">
        <v>122.4</v>
      </c>
      <c r="P56" s="1">
        <v>122</v>
      </c>
      <c r="Q56" s="1">
        <v>119</v>
      </c>
      <c r="R56" s="1">
        <v>117.4</v>
      </c>
      <c r="S56" s="1">
        <v>113.2</v>
      </c>
      <c r="T56" s="1">
        <v>116.7</v>
      </c>
      <c r="U56" s="1" t="s">
        <v>60</v>
      </c>
      <c r="V56" s="1">
        <v>111.2</v>
      </c>
      <c r="W56" s="1">
        <v>114.3</v>
      </c>
      <c r="X56" s="1">
        <v>111.4</v>
      </c>
      <c r="Y56" s="1">
        <v>111.5</v>
      </c>
      <c r="Z56" s="1">
        <v>111.8</v>
      </c>
      <c r="AA56" s="1">
        <v>115.1</v>
      </c>
      <c r="AB56" s="1">
        <v>108.7</v>
      </c>
      <c r="AC56" s="1">
        <v>112.2</v>
      </c>
      <c r="AD56" s="1">
        <v>116.4</v>
      </c>
    </row>
    <row r="57" spans="1:30" x14ac:dyDescent="0.3">
      <c r="A57" s="1" t="s">
        <v>34</v>
      </c>
      <c r="B57" s="1">
        <v>2014</v>
      </c>
      <c r="C57" s="1" t="s">
        <v>41</v>
      </c>
      <c r="D57" s="1">
        <v>121.5</v>
      </c>
      <c r="E57" s="1">
        <v>123.1</v>
      </c>
      <c r="F57" s="1">
        <v>115.8</v>
      </c>
      <c r="G57" s="1">
        <v>119.7</v>
      </c>
      <c r="H57" s="1">
        <v>107.8</v>
      </c>
      <c r="I57" s="1">
        <v>128.30000000000001</v>
      </c>
      <c r="J57" s="1">
        <v>132.1</v>
      </c>
      <c r="K57" s="1">
        <v>112.4</v>
      </c>
      <c r="L57" s="1">
        <v>102.9</v>
      </c>
      <c r="M57" s="1">
        <v>114.3</v>
      </c>
      <c r="N57" s="1">
        <v>114.2</v>
      </c>
      <c r="O57" s="1">
        <v>121.2</v>
      </c>
      <c r="P57" s="1">
        <v>120.4</v>
      </c>
      <c r="Q57" s="1">
        <v>117.8</v>
      </c>
      <c r="R57" s="1">
        <v>118.8</v>
      </c>
      <c r="S57" s="1">
        <v>115.6</v>
      </c>
      <c r="T57" s="1">
        <v>118.3</v>
      </c>
      <c r="U57" s="1" t="s">
        <v>60</v>
      </c>
      <c r="V57" s="1">
        <v>113.2</v>
      </c>
      <c r="W57" s="1">
        <v>114.6</v>
      </c>
      <c r="X57" s="1">
        <v>112.3</v>
      </c>
      <c r="Y57" s="1">
        <v>111.8</v>
      </c>
      <c r="Z57" s="1">
        <v>111.6</v>
      </c>
      <c r="AA57" s="1">
        <v>114.8</v>
      </c>
      <c r="AB57" s="1">
        <v>108.3</v>
      </c>
      <c r="AC57" s="1">
        <v>112.3</v>
      </c>
      <c r="AD57" s="1">
        <v>116.7</v>
      </c>
    </row>
    <row r="58" spans="1:30" x14ac:dyDescent="0.3">
      <c r="A58" s="1" t="s">
        <v>30</v>
      </c>
      <c r="B58" s="1">
        <v>2014</v>
      </c>
      <c r="C58" s="1" t="s">
        <v>43</v>
      </c>
      <c r="D58" s="1">
        <v>121.7</v>
      </c>
      <c r="E58" s="1">
        <v>122.5</v>
      </c>
      <c r="F58" s="1">
        <v>117.7</v>
      </c>
      <c r="G58" s="1">
        <v>120.6</v>
      </c>
      <c r="H58" s="1">
        <v>110.4</v>
      </c>
      <c r="I58" s="1">
        <v>129.1</v>
      </c>
      <c r="J58" s="1">
        <v>150.1</v>
      </c>
      <c r="K58" s="1">
        <v>113.2</v>
      </c>
      <c r="L58" s="1">
        <v>104.8</v>
      </c>
      <c r="M58" s="1">
        <v>113.3</v>
      </c>
      <c r="N58" s="1">
        <v>115.6</v>
      </c>
      <c r="O58" s="1">
        <v>120.9</v>
      </c>
      <c r="P58" s="1">
        <v>123.3</v>
      </c>
      <c r="Q58" s="1">
        <v>118</v>
      </c>
      <c r="R58" s="1">
        <v>120.7</v>
      </c>
      <c r="S58" s="1">
        <v>118.3</v>
      </c>
      <c r="T58" s="1">
        <v>120.3</v>
      </c>
      <c r="U58" s="1" t="s">
        <v>62</v>
      </c>
      <c r="V58" s="1">
        <v>115.3</v>
      </c>
      <c r="W58" s="1">
        <v>115.4</v>
      </c>
      <c r="X58" s="1">
        <v>113.4</v>
      </c>
      <c r="Y58" s="1">
        <v>113.2</v>
      </c>
      <c r="Z58" s="1">
        <v>111.8</v>
      </c>
      <c r="AA58" s="1">
        <v>115.5</v>
      </c>
      <c r="AB58" s="1">
        <v>108.8</v>
      </c>
      <c r="AC58" s="1">
        <v>113.1</v>
      </c>
      <c r="AD58" s="1">
        <v>119.5</v>
      </c>
    </row>
    <row r="59" spans="1:30" x14ac:dyDescent="0.3">
      <c r="A59" s="1" t="s">
        <v>32</v>
      </c>
      <c r="B59" s="1">
        <v>2014</v>
      </c>
      <c r="C59" s="1" t="s">
        <v>43</v>
      </c>
      <c r="D59" s="1">
        <v>123.8</v>
      </c>
      <c r="E59" s="1">
        <v>126.4</v>
      </c>
      <c r="F59" s="1">
        <v>118</v>
      </c>
      <c r="G59" s="1">
        <v>121.6</v>
      </c>
      <c r="H59" s="1">
        <v>103.5</v>
      </c>
      <c r="I59" s="1">
        <v>133.69999999999999</v>
      </c>
      <c r="J59" s="1">
        <v>172.4</v>
      </c>
      <c r="K59" s="1">
        <v>113.1</v>
      </c>
      <c r="L59" s="1">
        <v>102.7</v>
      </c>
      <c r="M59" s="1">
        <v>120</v>
      </c>
      <c r="N59" s="1">
        <v>113.8</v>
      </c>
      <c r="O59" s="1">
        <v>123.4</v>
      </c>
      <c r="P59" s="1">
        <v>127.1</v>
      </c>
      <c r="Q59" s="1">
        <v>121</v>
      </c>
      <c r="R59" s="1">
        <v>118</v>
      </c>
      <c r="S59" s="1">
        <v>113.6</v>
      </c>
      <c r="T59" s="1">
        <v>117.4</v>
      </c>
      <c r="U59" s="1" t="s">
        <v>62</v>
      </c>
      <c r="V59" s="1">
        <v>111.6</v>
      </c>
      <c r="W59" s="1">
        <v>114.9</v>
      </c>
      <c r="X59" s="1">
        <v>111.5</v>
      </c>
      <c r="Y59" s="1">
        <v>113</v>
      </c>
      <c r="Z59" s="1">
        <v>112.4</v>
      </c>
      <c r="AA59" s="1">
        <v>117.8</v>
      </c>
      <c r="AB59" s="1">
        <v>109.7</v>
      </c>
      <c r="AC59" s="1">
        <v>113.5</v>
      </c>
      <c r="AD59" s="1">
        <v>118.9</v>
      </c>
    </row>
    <row r="60" spans="1:30" x14ac:dyDescent="0.3">
      <c r="A60" s="1" t="s">
        <v>34</v>
      </c>
      <c r="B60" s="1">
        <v>2014</v>
      </c>
      <c r="C60" s="1" t="s">
        <v>43</v>
      </c>
      <c r="D60" s="1">
        <v>122.4</v>
      </c>
      <c r="E60" s="1">
        <v>123.9</v>
      </c>
      <c r="F60" s="1">
        <v>117.8</v>
      </c>
      <c r="G60" s="1">
        <v>121</v>
      </c>
      <c r="H60" s="1">
        <v>107.9</v>
      </c>
      <c r="I60" s="1">
        <v>131.19999999999999</v>
      </c>
      <c r="J60" s="1">
        <v>157.69999999999999</v>
      </c>
      <c r="K60" s="1">
        <v>113.2</v>
      </c>
      <c r="L60" s="1">
        <v>104.1</v>
      </c>
      <c r="M60" s="1">
        <v>115.5</v>
      </c>
      <c r="N60" s="1">
        <v>114.8</v>
      </c>
      <c r="O60" s="1">
        <v>122.1</v>
      </c>
      <c r="P60" s="1">
        <v>124.7</v>
      </c>
      <c r="Q60" s="1">
        <v>118.8</v>
      </c>
      <c r="R60" s="1">
        <v>119.6</v>
      </c>
      <c r="S60" s="1">
        <v>116.3</v>
      </c>
      <c r="T60" s="1">
        <v>119.1</v>
      </c>
      <c r="U60" s="1" t="s">
        <v>62</v>
      </c>
      <c r="V60" s="1">
        <v>113.9</v>
      </c>
      <c r="W60" s="1">
        <v>115.2</v>
      </c>
      <c r="X60" s="1">
        <v>112.7</v>
      </c>
      <c r="Y60" s="1">
        <v>113.1</v>
      </c>
      <c r="Z60" s="1">
        <v>112.1</v>
      </c>
      <c r="AA60" s="1">
        <v>116.8</v>
      </c>
      <c r="AB60" s="1">
        <v>109.2</v>
      </c>
      <c r="AC60" s="1">
        <v>113.3</v>
      </c>
      <c r="AD60" s="1">
        <v>119.2</v>
      </c>
    </row>
    <row r="61" spans="1:30" x14ac:dyDescent="0.3">
      <c r="A61" s="1" t="s">
        <v>30</v>
      </c>
      <c r="B61" s="1">
        <v>2014</v>
      </c>
      <c r="C61" s="1" t="s">
        <v>45</v>
      </c>
      <c r="D61" s="1">
        <v>121.8</v>
      </c>
      <c r="E61" s="1">
        <v>122.8</v>
      </c>
      <c r="F61" s="1">
        <v>117.8</v>
      </c>
      <c r="G61" s="1">
        <v>121.9</v>
      </c>
      <c r="H61" s="1">
        <v>110.6</v>
      </c>
      <c r="I61" s="1">
        <v>129.69999999999999</v>
      </c>
      <c r="J61" s="1">
        <v>161.1</v>
      </c>
      <c r="K61" s="1">
        <v>114.1</v>
      </c>
      <c r="L61" s="1">
        <v>105.1</v>
      </c>
      <c r="M61" s="1">
        <v>114.6</v>
      </c>
      <c r="N61" s="1">
        <v>115.8</v>
      </c>
      <c r="O61" s="1">
        <v>121.7</v>
      </c>
      <c r="P61" s="1">
        <v>125.3</v>
      </c>
      <c r="Q61" s="1">
        <v>118.8</v>
      </c>
      <c r="R61" s="1">
        <v>120.9</v>
      </c>
      <c r="S61" s="1">
        <v>118.8</v>
      </c>
      <c r="T61" s="1">
        <v>120.7</v>
      </c>
      <c r="U61" s="1" t="s">
        <v>63</v>
      </c>
      <c r="V61" s="1">
        <v>115.4</v>
      </c>
      <c r="W61" s="1">
        <v>115.9</v>
      </c>
      <c r="X61" s="1">
        <v>114</v>
      </c>
      <c r="Y61" s="1">
        <v>113.2</v>
      </c>
      <c r="Z61" s="1">
        <v>112.2</v>
      </c>
      <c r="AA61" s="1">
        <v>116.2</v>
      </c>
      <c r="AB61" s="1">
        <v>109.4</v>
      </c>
      <c r="AC61" s="1">
        <v>113.5</v>
      </c>
      <c r="AD61" s="1">
        <v>120.7</v>
      </c>
    </row>
    <row r="62" spans="1:30" x14ac:dyDescent="0.3">
      <c r="A62" s="1" t="s">
        <v>32</v>
      </c>
      <c r="B62" s="1">
        <v>2014</v>
      </c>
      <c r="C62" s="1" t="s">
        <v>45</v>
      </c>
      <c r="D62" s="1">
        <v>124.8</v>
      </c>
      <c r="E62" s="1">
        <v>127.3</v>
      </c>
      <c r="F62" s="1">
        <v>116.5</v>
      </c>
      <c r="G62" s="1">
        <v>122.2</v>
      </c>
      <c r="H62" s="1">
        <v>103.6</v>
      </c>
      <c r="I62" s="1">
        <v>132.69999999999999</v>
      </c>
      <c r="J62" s="1">
        <v>181.9</v>
      </c>
      <c r="K62" s="1">
        <v>115.2</v>
      </c>
      <c r="L62" s="1">
        <v>102.7</v>
      </c>
      <c r="M62" s="1">
        <v>122.1</v>
      </c>
      <c r="N62" s="1">
        <v>114.4</v>
      </c>
      <c r="O62" s="1">
        <v>124.7</v>
      </c>
      <c r="P62" s="1">
        <v>128.9</v>
      </c>
      <c r="Q62" s="1">
        <v>123</v>
      </c>
      <c r="R62" s="1">
        <v>118.6</v>
      </c>
      <c r="S62" s="1">
        <v>114.1</v>
      </c>
      <c r="T62" s="1">
        <v>117.9</v>
      </c>
      <c r="U62" s="1" t="s">
        <v>63</v>
      </c>
      <c r="V62" s="1">
        <v>111.8</v>
      </c>
      <c r="W62" s="1">
        <v>115.3</v>
      </c>
      <c r="X62" s="1">
        <v>112.2</v>
      </c>
      <c r="Y62" s="1">
        <v>112.5</v>
      </c>
      <c r="Z62" s="1">
        <v>112.9</v>
      </c>
      <c r="AA62" s="1">
        <v>119.2</v>
      </c>
      <c r="AB62" s="1">
        <v>110.5</v>
      </c>
      <c r="AC62" s="1">
        <v>113.9</v>
      </c>
      <c r="AD62" s="1">
        <v>119.9</v>
      </c>
    </row>
    <row r="63" spans="1:30" x14ac:dyDescent="0.3">
      <c r="A63" s="1" t="s">
        <v>34</v>
      </c>
      <c r="B63" s="1">
        <v>2014</v>
      </c>
      <c r="C63" s="1" t="s">
        <v>45</v>
      </c>
      <c r="D63" s="1">
        <v>122.7</v>
      </c>
      <c r="E63" s="1">
        <v>124.4</v>
      </c>
      <c r="F63" s="1">
        <v>117.3</v>
      </c>
      <c r="G63" s="1">
        <v>122</v>
      </c>
      <c r="H63" s="1">
        <v>108</v>
      </c>
      <c r="I63" s="1">
        <v>131.1</v>
      </c>
      <c r="J63" s="1">
        <v>168.2</v>
      </c>
      <c r="K63" s="1">
        <v>114.5</v>
      </c>
      <c r="L63" s="1">
        <v>104.3</v>
      </c>
      <c r="M63" s="1">
        <v>117.1</v>
      </c>
      <c r="N63" s="1">
        <v>115.2</v>
      </c>
      <c r="O63" s="1">
        <v>123.1</v>
      </c>
      <c r="P63" s="1">
        <v>126.6</v>
      </c>
      <c r="Q63" s="1">
        <v>119.9</v>
      </c>
      <c r="R63" s="1">
        <v>120</v>
      </c>
      <c r="S63" s="1">
        <v>116.8</v>
      </c>
      <c r="T63" s="1">
        <v>119.6</v>
      </c>
      <c r="U63" s="1" t="s">
        <v>63</v>
      </c>
      <c r="V63" s="1">
        <v>114</v>
      </c>
      <c r="W63" s="1">
        <v>115.6</v>
      </c>
      <c r="X63" s="1">
        <v>113.3</v>
      </c>
      <c r="Y63" s="1">
        <v>112.8</v>
      </c>
      <c r="Z63" s="1">
        <v>112.6</v>
      </c>
      <c r="AA63" s="1">
        <v>118</v>
      </c>
      <c r="AB63" s="1">
        <v>109.9</v>
      </c>
      <c r="AC63" s="1">
        <v>113.7</v>
      </c>
      <c r="AD63" s="1">
        <v>120.3</v>
      </c>
    </row>
    <row r="64" spans="1:30" x14ac:dyDescent="0.3">
      <c r="A64" s="1" t="s">
        <v>30</v>
      </c>
      <c r="B64" s="1">
        <v>2014</v>
      </c>
      <c r="C64" s="1" t="s">
        <v>47</v>
      </c>
      <c r="D64" s="1">
        <v>122.3</v>
      </c>
      <c r="E64" s="1">
        <v>122.4</v>
      </c>
      <c r="F64" s="1">
        <v>117.8</v>
      </c>
      <c r="G64" s="1">
        <v>122.7</v>
      </c>
      <c r="H64" s="1">
        <v>110.4</v>
      </c>
      <c r="I64" s="1">
        <v>129.80000000000001</v>
      </c>
      <c r="J64" s="1">
        <v>158.80000000000001</v>
      </c>
      <c r="K64" s="1">
        <v>115</v>
      </c>
      <c r="L64" s="1">
        <v>104.7</v>
      </c>
      <c r="M64" s="1">
        <v>114.9</v>
      </c>
      <c r="N64" s="1">
        <v>116.5</v>
      </c>
      <c r="O64" s="1">
        <v>122.6</v>
      </c>
      <c r="P64" s="1">
        <v>125.3</v>
      </c>
      <c r="Q64" s="1">
        <v>119.5</v>
      </c>
      <c r="R64" s="1">
        <v>121.7</v>
      </c>
      <c r="S64" s="1">
        <v>119.2</v>
      </c>
      <c r="T64" s="1">
        <v>121.3</v>
      </c>
      <c r="U64" s="1" t="s">
        <v>64</v>
      </c>
      <c r="V64" s="1">
        <v>115.8</v>
      </c>
      <c r="W64" s="1">
        <v>116.7</v>
      </c>
      <c r="X64" s="1">
        <v>114.5</v>
      </c>
      <c r="Y64" s="1">
        <v>112.8</v>
      </c>
      <c r="Z64" s="1">
        <v>112.6</v>
      </c>
      <c r="AA64" s="1">
        <v>116.6</v>
      </c>
      <c r="AB64" s="1">
        <v>109.1</v>
      </c>
      <c r="AC64" s="1">
        <v>113.7</v>
      </c>
      <c r="AD64" s="1">
        <v>120.9</v>
      </c>
    </row>
    <row r="65" spans="1:30" x14ac:dyDescent="0.3">
      <c r="A65" s="1" t="s">
        <v>32</v>
      </c>
      <c r="B65" s="1">
        <v>2014</v>
      </c>
      <c r="C65" s="1" t="s">
        <v>47</v>
      </c>
      <c r="D65" s="1">
        <v>124.2</v>
      </c>
      <c r="E65" s="1">
        <v>125.4</v>
      </c>
      <c r="F65" s="1">
        <v>116.4</v>
      </c>
      <c r="G65" s="1">
        <v>122.7</v>
      </c>
      <c r="H65" s="1">
        <v>103.5</v>
      </c>
      <c r="I65" s="1">
        <v>124.5</v>
      </c>
      <c r="J65" s="1">
        <v>168.6</v>
      </c>
      <c r="K65" s="1">
        <v>116.9</v>
      </c>
      <c r="L65" s="1">
        <v>101.9</v>
      </c>
      <c r="M65" s="1">
        <v>122.9</v>
      </c>
      <c r="N65" s="1">
        <v>114.8</v>
      </c>
      <c r="O65" s="1">
        <v>125.2</v>
      </c>
      <c r="P65" s="1">
        <v>126.7</v>
      </c>
      <c r="Q65" s="1">
        <v>124.3</v>
      </c>
      <c r="R65" s="1">
        <v>119.2</v>
      </c>
      <c r="S65" s="1">
        <v>114.5</v>
      </c>
      <c r="T65" s="1">
        <v>118.4</v>
      </c>
      <c r="U65" s="1" t="s">
        <v>64</v>
      </c>
      <c r="V65" s="1">
        <v>111.8</v>
      </c>
      <c r="W65" s="1">
        <v>115.5</v>
      </c>
      <c r="X65" s="1">
        <v>112.3</v>
      </c>
      <c r="Y65" s="1">
        <v>111.2</v>
      </c>
      <c r="Z65" s="1">
        <v>113.4</v>
      </c>
      <c r="AA65" s="1">
        <v>120</v>
      </c>
      <c r="AB65" s="1">
        <v>110</v>
      </c>
      <c r="AC65" s="1">
        <v>113.6</v>
      </c>
      <c r="AD65" s="1">
        <v>119.2</v>
      </c>
    </row>
    <row r="66" spans="1:30" x14ac:dyDescent="0.3">
      <c r="A66" s="1" t="s">
        <v>34</v>
      </c>
      <c r="B66" s="1">
        <v>2014</v>
      </c>
      <c r="C66" s="1" t="s">
        <v>47</v>
      </c>
      <c r="D66" s="1">
        <v>122.9</v>
      </c>
      <c r="E66" s="1">
        <v>123.5</v>
      </c>
      <c r="F66" s="1">
        <v>117.3</v>
      </c>
      <c r="G66" s="1">
        <v>122.7</v>
      </c>
      <c r="H66" s="1">
        <v>107.9</v>
      </c>
      <c r="I66" s="1">
        <v>127.3</v>
      </c>
      <c r="J66" s="1">
        <v>162.1</v>
      </c>
      <c r="K66" s="1">
        <v>115.6</v>
      </c>
      <c r="L66" s="1">
        <v>103.8</v>
      </c>
      <c r="M66" s="1">
        <v>117.6</v>
      </c>
      <c r="N66" s="1">
        <v>115.8</v>
      </c>
      <c r="O66" s="1">
        <v>123.8</v>
      </c>
      <c r="P66" s="1">
        <v>125.8</v>
      </c>
      <c r="Q66" s="1">
        <v>120.8</v>
      </c>
      <c r="R66" s="1">
        <v>120.7</v>
      </c>
      <c r="S66" s="1">
        <v>117.2</v>
      </c>
      <c r="T66" s="1">
        <v>120.1</v>
      </c>
      <c r="U66" s="1" t="s">
        <v>64</v>
      </c>
      <c r="V66" s="1">
        <v>114.3</v>
      </c>
      <c r="W66" s="1">
        <v>116.1</v>
      </c>
      <c r="X66" s="1">
        <v>113.7</v>
      </c>
      <c r="Y66" s="1">
        <v>112</v>
      </c>
      <c r="Z66" s="1">
        <v>113.1</v>
      </c>
      <c r="AA66" s="1">
        <v>118.6</v>
      </c>
      <c r="AB66" s="1">
        <v>109.5</v>
      </c>
      <c r="AC66" s="1">
        <v>113.7</v>
      </c>
      <c r="AD66" s="1">
        <v>120.1</v>
      </c>
    </row>
    <row r="67" spans="1:30" x14ac:dyDescent="0.3">
      <c r="A67" s="1" t="s">
        <v>30</v>
      </c>
      <c r="B67" s="1">
        <v>2014</v>
      </c>
      <c r="C67" s="1" t="s">
        <v>49</v>
      </c>
      <c r="D67" s="1">
        <v>122.6</v>
      </c>
      <c r="E67" s="1">
        <v>122.5</v>
      </c>
      <c r="F67" s="1">
        <v>118.3</v>
      </c>
      <c r="G67" s="1">
        <v>123.2</v>
      </c>
      <c r="H67" s="1">
        <v>110.5</v>
      </c>
      <c r="I67" s="1">
        <v>128.9</v>
      </c>
      <c r="J67" s="1">
        <v>155.30000000000001</v>
      </c>
      <c r="K67" s="1">
        <v>115.5</v>
      </c>
      <c r="L67" s="1">
        <v>104</v>
      </c>
      <c r="M67" s="1">
        <v>115.3</v>
      </c>
      <c r="N67" s="1">
        <v>116.8</v>
      </c>
      <c r="O67" s="1">
        <v>123.2</v>
      </c>
      <c r="P67" s="1">
        <v>125.1</v>
      </c>
      <c r="Q67" s="1">
        <v>120</v>
      </c>
      <c r="R67" s="1">
        <v>122.7</v>
      </c>
      <c r="S67" s="1">
        <v>120.3</v>
      </c>
      <c r="T67" s="1">
        <v>122.3</v>
      </c>
      <c r="U67" s="1" t="s">
        <v>65</v>
      </c>
      <c r="V67" s="1">
        <v>116.4</v>
      </c>
      <c r="W67" s="1">
        <v>117.5</v>
      </c>
      <c r="X67" s="1">
        <v>115.3</v>
      </c>
      <c r="Y67" s="1">
        <v>112.6</v>
      </c>
      <c r="Z67" s="1">
        <v>113</v>
      </c>
      <c r="AA67" s="1">
        <v>116.9</v>
      </c>
      <c r="AB67" s="1">
        <v>109.3</v>
      </c>
      <c r="AC67" s="1">
        <v>114</v>
      </c>
      <c r="AD67" s="1">
        <v>121</v>
      </c>
    </row>
    <row r="68" spans="1:30" x14ac:dyDescent="0.3">
      <c r="A68" s="1" t="s">
        <v>32</v>
      </c>
      <c r="B68" s="1">
        <v>2014</v>
      </c>
      <c r="C68" s="1" t="s">
        <v>49</v>
      </c>
      <c r="D68" s="1">
        <v>124.6</v>
      </c>
      <c r="E68" s="1">
        <v>126.1</v>
      </c>
      <c r="F68" s="1">
        <v>117.8</v>
      </c>
      <c r="G68" s="1">
        <v>123.1</v>
      </c>
      <c r="H68" s="1">
        <v>103.5</v>
      </c>
      <c r="I68" s="1">
        <v>123.5</v>
      </c>
      <c r="J68" s="1">
        <v>159.6</v>
      </c>
      <c r="K68" s="1">
        <v>117.4</v>
      </c>
      <c r="L68" s="1">
        <v>101.2</v>
      </c>
      <c r="M68" s="1">
        <v>123.8</v>
      </c>
      <c r="N68" s="1">
        <v>115.2</v>
      </c>
      <c r="O68" s="1">
        <v>125.9</v>
      </c>
      <c r="P68" s="1">
        <v>125.8</v>
      </c>
      <c r="Q68" s="1">
        <v>124.3</v>
      </c>
      <c r="R68" s="1">
        <v>119.6</v>
      </c>
      <c r="S68" s="1">
        <v>114.9</v>
      </c>
      <c r="T68" s="1">
        <v>118.9</v>
      </c>
      <c r="U68" s="1" t="s">
        <v>65</v>
      </c>
      <c r="V68" s="1">
        <v>112</v>
      </c>
      <c r="W68" s="1">
        <v>115.8</v>
      </c>
      <c r="X68" s="1">
        <v>112.6</v>
      </c>
      <c r="Y68" s="1">
        <v>111</v>
      </c>
      <c r="Z68" s="1">
        <v>113.6</v>
      </c>
      <c r="AA68" s="1">
        <v>120.2</v>
      </c>
      <c r="AB68" s="1">
        <v>110.1</v>
      </c>
      <c r="AC68" s="1">
        <v>113.7</v>
      </c>
      <c r="AD68" s="1">
        <v>119.1</v>
      </c>
    </row>
    <row r="69" spans="1:30" x14ac:dyDescent="0.3">
      <c r="A69" s="1" t="s">
        <v>34</v>
      </c>
      <c r="B69" s="1">
        <v>2014</v>
      </c>
      <c r="C69" s="1" t="s">
        <v>49</v>
      </c>
      <c r="D69" s="1">
        <v>123.2</v>
      </c>
      <c r="E69" s="1">
        <v>123.8</v>
      </c>
      <c r="F69" s="1">
        <v>118.1</v>
      </c>
      <c r="G69" s="1">
        <v>123.2</v>
      </c>
      <c r="H69" s="1">
        <v>107.9</v>
      </c>
      <c r="I69" s="1">
        <v>126.4</v>
      </c>
      <c r="J69" s="1">
        <v>156.80000000000001</v>
      </c>
      <c r="K69" s="1">
        <v>116.1</v>
      </c>
      <c r="L69" s="1">
        <v>103.1</v>
      </c>
      <c r="M69" s="1">
        <v>118.1</v>
      </c>
      <c r="N69" s="1">
        <v>116.1</v>
      </c>
      <c r="O69" s="1">
        <v>124.5</v>
      </c>
      <c r="P69" s="1">
        <v>125.4</v>
      </c>
      <c r="Q69" s="1">
        <v>121.1</v>
      </c>
      <c r="R69" s="1">
        <v>121.5</v>
      </c>
      <c r="S69" s="1">
        <v>118.1</v>
      </c>
      <c r="T69" s="1">
        <v>121</v>
      </c>
      <c r="U69" s="1" t="s">
        <v>65</v>
      </c>
      <c r="V69" s="1">
        <v>114.7</v>
      </c>
      <c r="W69" s="1">
        <v>116.7</v>
      </c>
      <c r="X69" s="1">
        <v>114.3</v>
      </c>
      <c r="Y69" s="1">
        <v>111.8</v>
      </c>
      <c r="Z69" s="1">
        <v>113.3</v>
      </c>
      <c r="AA69" s="1">
        <v>118.8</v>
      </c>
      <c r="AB69" s="1">
        <v>109.6</v>
      </c>
      <c r="AC69" s="1">
        <v>113.9</v>
      </c>
      <c r="AD69" s="1">
        <v>120.1</v>
      </c>
    </row>
    <row r="70" spans="1:30" x14ac:dyDescent="0.3">
      <c r="A70" s="1" t="s">
        <v>30</v>
      </c>
      <c r="B70" s="1">
        <v>2014</v>
      </c>
      <c r="C70" s="1" t="s">
        <v>52</v>
      </c>
      <c r="D70" s="1">
        <v>122.7</v>
      </c>
      <c r="E70" s="1">
        <v>122.6</v>
      </c>
      <c r="F70" s="1">
        <v>119.9</v>
      </c>
      <c r="G70" s="1">
        <v>124</v>
      </c>
      <c r="H70" s="1">
        <v>110.5</v>
      </c>
      <c r="I70" s="1">
        <v>128.80000000000001</v>
      </c>
      <c r="J70" s="1">
        <v>152</v>
      </c>
      <c r="K70" s="1">
        <v>116.2</v>
      </c>
      <c r="L70" s="1">
        <v>103.3</v>
      </c>
      <c r="M70" s="1">
        <v>115.8</v>
      </c>
      <c r="N70" s="1">
        <v>116.8</v>
      </c>
      <c r="O70" s="1">
        <v>124.5</v>
      </c>
      <c r="P70" s="1">
        <v>124.9</v>
      </c>
      <c r="Q70" s="1">
        <v>120.8</v>
      </c>
      <c r="R70" s="1">
        <v>123.3</v>
      </c>
      <c r="S70" s="1">
        <v>120.5</v>
      </c>
      <c r="T70" s="1">
        <v>122.9</v>
      </c>
      <c r="U70" s="1" t="s">
        <v>66</v>
      </c>
      <c r="V70" s="1">
        <v>117.3</v>
      </c>
      <c r="W70" s="1">
        <v>118.1</v>
      </c>
      <c r="X70" s="1">
        <v>115.9</v>
      </c>
      <c r="Y70" s="1">
        <v>112</v>
      </c>
      <c r="Z70" s="1">
        <v>113.3</v>
      </c>
      <c r="AA70" s="1">
        <v>117.2</v>
      </c>
      <c r="AB70" s="1">
        <v>108.8</v>
      </c>
      <c r="AC70" s="1">
        <v>114.1</v>
      </c>
      <c r="AD70" s="1">
        <v>121.1</v>
      </c>
    </row>
    <row r="71" spans="1:30" x14ac:dyDescent="0.3">
      <c r="A71" s="1" t="s">
        <v>32</v>
      </c>
      <c r="B71" s="1">
        <v>2014</v>
      </c>
      <c r="C71" s="1" t="s">
        <v>52</v>
      </c>
      <c r="D71" s="1">
        <v>124.5</v>
      </c>
      <c r="E71" s="1">
        <v>125.6</v>
      </c>
      <c r="F71" s="1">
        <v>122.7</v>
      </c>
      <c r="G71" s="1">
        <v>124.6</v>
      </c>
      <c r="H71" s="1">
        <v>103.2</v>
      </c>
      <c r="I71" s="1">
        <v>122.2</v>
      </c>
      <c r="J71" s="1">
        <v>153.19999999999999</v>
      </c>
      <c r="K71" s="1">
        <v>119.3</v>
      </c>
      <c r="L71" s="1">
        <v>99.8</v>
      </c>
      <c r="M71" s="1">
        <v>124.6</v>
      </c>
      <c r="N71" s="1">
        <v>115.8</v>
      </c>
      <c r="O71" s="1">
        <v>126.9</v>
      </c>
      <c r="P71" s="1">
        <v>125.4</v>
      </c>
      <c r="Q71" s="1">
        <v>125.8</v>
      </c>
      <c r="R71" s="1">
        <v>120.3</v>
      </c>
      <c r="S71" s="1">
        <v>115.4</v>
      </c>
      <c r="T71" s="1">
        <v>119.5</v>
      </c>
      <c r="U71" s="1" t="s">
        <v>66</v>
      </c>
      <c r="V71" s="1">
        <v>112.6</v>
      </c>
      <c r="W71" s="1">
        <v>116.4</v>
      </c>
      <c r="X71" s="1">
        <v>113</v>
      </c>
      <c r="Y71" s="1">
        <v>109.7</v>
      </c>
      <c r="Z71" s="1">
        <v>114</v>
      </c>
      <c r="AA71" s="1">
        <v>120.3</v>
      </c>
      <c r="AB71" s="1">
        <v>109.6</v>
      </c>
      <c r="AC71" s="1">
        <v>113.4</v>
      </c>
      <c r="AD71" s="1">
        <v>119</v>
      </c>
    </row>
    <row r="72" spans="1:30" x14ac:dyDescent="0.3">
      <c r="A72" s="1" t="s">
        <v>34</v>
      </c>
      <c r="B72" s="1">
        <v>2014</v>
      </c>
      <c r="C72" s="1" t="s">
        <v>52</v>
      </c>
      <c r="D72" s="1">
        <v>123.3</v>
      </c>
      <c r="E72" s="1">
        <v>123.7</v>
      </c>
      <c r="F72" s="1">
        <v>121</v>
      </c>
      <c r="G72" s="1">
        <v>124.2</v>
      </c>
      <c r="H72" s="1">
        <v>107.8</v>
      </c>
      <c r="I72" s="1">
        <v>125.7</v>
      </c>
      <c r="J72" s="1">
        <v>152.4</v>
      </c>
      <c r="K72" s="1">
        <v>117.2</v>
      </c>
      <c r="L72" s="1">
        <v>102.1</v>
      </c>
      <c r="M72" s="1">
        <v>118.7</v>
      </c>
      <c r="N72" s="1">
        <v>116.4</v>
      </c>
      <c r="O72" s="1">
        <v>125.6</v>
      </c>
      <c r="P72" s="1">
        <v>125.1</v>
      </c>
      <c r="Q72" s="1">
        <v>122.1</v>
      </c>
      <c r="R72" s="1">
        <v>122.1</v>
      </c>
      <c r="S72" s="1">
        <v>118.4</v>
      </c>
      <c r="T72" s="1">
        <v>121.6</v>
      </c>
      <c r="U72" s="1" t="s">
        <v>66</v>
      </c>
      <c r="V72" s="1">
        <v>115.5</v>
      </c>
      <c r="W72" s="1">
        <v>117.3</v>
      </c>
      <c r="X72" s="1">
        <v>114.8</v>
      </c>
      <c r="Y72" s="1">
        <v>110.8</v>
      </c>
      <c r="Z72" s="1">
        <v>113.7</v>
      </c>
      <c r="AA72" s="1">
        <v>119</v>
      </c>
      <c r="AB72" s="1">
        <v>109.1</v>
      </c>
      <c r="AC72" s="1">
        <v>113.8</v>
      </c>
      <c r="AD72" s="1">
        <v>120.1</v>
      </c>
    </row>
    <row r="73" spans="1:30" x14ac:dyDescent="0.3">
      <c r="A73" s="1" t="s">
        <v>30</v>
      </c>
      <c r="B73" s="1">
        <v>2014</v>
      </c>
      <c r="C73" s="1" t="s">
        <v>54</v>
      </c>
      <c r="D73" s="1">
        <v>122.4</v>
      </c>
      <c r="E73" s="1">
        <v>122.4</v>
      </c>
      <c r="F73" s="1">
        <v>121.8</v>
      </c>
      <c r="G73" s="1">
        <v>124.2</v>
      </c>
      <c r="H73" s="1">
        <v>110.2</v>
      </c>
      <c r="I73" s="1">
        <v>128.6</v>
      </c>
      <c r="J73" s="1">
        <v>140.30000000000001</v>
      </c>
      <c r="K73" s="1">
        <v>116.3</v>
      </c>
      <c r="L73" s="1">
        <v>102</v>
      </c>
      <c r="M73" s="1">
        <v>116</v>
      </c>
      <c r="N73" s="1">
        <v>117.3</v>
      </c>
      <c r="O73" s="1">
        <v>124.8</v>
      </c>
      <c r="P73" s="1">
        <v>123.3</v>
      </c>
      <c r="Q73" s="1">
        <v>121.7</v>
      </c>
      <c r="R73" s="1">
        <v>123.8</v>
      </c>
      <c r="S73" s="1">
        <v>120.6</v>
      </c>
      <c r="T73" s="1">
        <v>123.3</v>
      </c>
      <c r="U73" s="1" t="s">
        <v>67</v>
      </c>
      <c r="V73" s="1">
        <v>117.4</v>
      </c>
      <c r="W73" s="1">
        <v>118.2</v>
      </c>
      <c r="X73" s="1">
        <v>116.2</v>
      </c>
      <c r="Y73" s="1">
        <v>111.5</v>
      </c>
      <c r="Z73" s="1">
        <v>113.3</v>
      </c>
      <c r="AA73" s="1">
        <v>117.7</v>
      </c>
      <c r="AB73" s="1">
        <v>109.4</v>
      </c>
      <c r="AC73" s="1">
        <v>114.2</v>
      </c>
      <c r="AD73" s="1">
        <v>120.3</v>
      </c>
    </row>
    <row r="74" spans="1:30" x14ac:dyDescent="0.3">
      <c r="A74" s="1" t="s">
        <v>32</v>
      </c>
      <c r="B74" s="1">
        <v>2014</v>
      </c>
      <c r="C74" s="1" t="s">
        <v>54</v>
      </c>
      <c r="D74" s="1">
        <v>124</v>
      </c>
      <c r="E74" s="1">
        <v>124.7</v>
      </c>
      <c r="F74" s="1">
        <v>126.3</v>
      </c>
      <c r="G74" s="1">
        <v>124.9</v>
      </c>
      <c r="H74" s="1">
        <v>103</v>
      </c>
      <c r="I74" s="1">
        <v>122.3</v>
      </c>
      <c r="J74" s="1">
        <v>141</v>
      </c>
      <c r="K74" s="1">
        <v>120.1</v>
      </c>
      <c r="L74" s="1">
        <v>97.8</v>
      </c>
      <c r="M74" s="1">
        <v>125.4</v>
      </c>
      <c r="N74" s="1">
        <v>116.1</v>
      </c>
      <c r="O74" s="1">
        <v>127.6</v>
      </c>
      <c r="P74" s="1">
        <v>124</v>
      </c>
      <c r="Q74" s="1">
        <v>126.4</v>
      </c>
      <c r="R74" s="1">
        <v>120.7</v>
      </c>
      <c r="S74" s="1">
        <v>115.8</v>
      </c>
      <c r="T74" s="1">
        <v>120</v>
      </c>
      <c r="U74" s="1" t="s">
        <v>67</v>
      </c>
      <c r="V74" s="1">
        <v>113</v>
      </c>
      <c r="W74" s="1">
        <v>116.8</v>
      </c>
      <c r="X74" s="1">
        <v>113.2</v>
      </c>
      <c r="Y74" s="1">
        <v>108.8</v>
      </c>
      <c r="Z74" s="1">
        <v>114.3</v>
      </c>
      <c r="AA74" s="1">
        <v>120.7</v>
      </c>
      <c r="AB74" s="1">
        <v>110.4</v>
      </c>
      <c r="AC74" s="1">
        <v>113.4</v>
      </c>
      <c r="AD74" s="1">
        <v>118.4</v>
      </c>
    </row>
    <row r="75" spans="1:30" x14ac:dyDescent="0.3">
      <c r="A75" s="1" t="s">
        <v>34</v>
      </c>
      <c r="B75" s="1">
        <v>2014</v>
      </c>
      <c r="C75" s="1" t="s">
        <v>54</v>
      </c>
      <c r="D75" s="1">
        <v>122.9</v>
      </c>
      <c r="E75" s="1">
        <v>123.2</v>
      </c>
      <c r="F75" s="1">
        <v>123.5</v>
      </c>
      <c r="G75" s="1">
        <v>124.5</v>
      </c>
      <c r="H75" s="1">
        <v>107.6</v>
      </c>
      <c r="I75" s="1">
        <v>125.7</v>
      </c>
      <c r="J75" s="1">
        <v>140.5</v>
      </c>
      <c r="K75" s="1">
        <v>117.6</v>
      </c>
      <c r="L75" s="1">
        <v>100.6</v>
      </c>
      <c r="M75" s="1">
        <v>119.1</v>
      </c>
      <c r="N75" s="1">
        <v>116.8</v>
      </c>
      <c r="O75" s="1">
        <v>126.1</v>
      </c>
      <c r="P75" s="1">
        <v>123.6</v>
      </c>
      <c r="Q75" s="1">
        <v>123</v>
      </c>
      <c r="R75" s="1">
        <v>122.6</v>
      </c>
      <c r="S75" s="1">
        <v>118.6</v>
      </c>
      <c r="T75" s="1">
        <v>122</v>
      </c>
      <c r="U75" s="1" t="s">
        <v>67</v>
      </c>
      <c r="V75" s="1">
        <v>115.7</v>
      </c>
      <c r="W75" s="1">
        <v>117.5</v>
      </c>
      <c r="X75" s="1">
        <v>115.1</v>
      </c>
      <c r="Y75" s="1">
        <v>110.1</v>
      </c>
      <c r="Z75" s="1">
        <v>113.9</v>
      </c>
      <c r="AA75" s="1">
        <v>119.5</v>
      </c>
      <c r="AB75" s="1">
        <v>109.8</v>
      </c>
      <c r="AC75" s="1">
        <v>113.8</v>
      </c>
      <c r="AD75" s="1">
        <v>119.4</v>
      </c>
    </row>
    <row r="76" spans="1:30" x14ac:dyDescent="0.3">
      <c r="A76" s="1" t="s">
        <v>30</v>
      </c>
      <c r="B76" s="1">
        <v>2015</v>
      </c>
      <c r="C76" s="1" t="s">
        <v>31</v>
      </c>
      <c r="D76" s="1">
        <v>123.1</v>
      </c>
      <c r="E76" s="1">
        <v>123.1</v>
      </c>
      <c r="F76" s="1">
        <v>122.1</v>
      </c>
      <c r="G76" s="1">
        <v>124.9</v>
      </c>
      <c r="H76" s="1">
        <v>111</v>
      </c>
      <c r="I76" s="1">
        <v>130.4</v>
      </c>
      <c r="J76" s="1">
        <v>132.30000000000001</v>
      </c>
      <c r="K76" s="1">
        <v>117.2</v>
      </c>
      <c r="L76" s="1">
        <v>100.5</v>
      </c>
      <c r="M76" s="1">
        <v>117.2</v>
      </c>
      <c r="N76" s="1">
        <v>117.9</v>
      </c>
      <c r="O76" s="1">
        <v>125.6</v>
      </c>
      <c r="P76" s="1">
        <v>122.8</v>
      </c>
      <c r="Q76" s="1">
        <v>122.7</v>
      </c>
      <c r="R76" s="1">
        <v>124.4</v>
      </c>
      <c r="S76" s="1">
        <v>121.6</v>
      </c>
      <c r="T76" s="1">
        <v>124</v>
      </c>
      <c r="U76" s="1" t="s">
        <v>68</v>
      </c>
      <c r="V76" s="1">
        <v>118.4</v>
      </c>
      <c r="W76" s="1">
        <v>118.9</v>
      </c>
      <c r="X76" s="1">
        <v>116.6</v>
      </c>
      <c r="Y76" s="1">
        <v>111</v>
      </c>
      <c r="Z76" s="1">
        <v>114</v>
      </c>
      <c r="AA76" s="1">
        <v>118.2</v>
      </c>
      <c r="AB76" s="1">
        <v>110.2</v>
      </c>
      <c r="AC76" s="1">
        <v>114.5</v>
      </c>
      <c r="AD76" s="1">
        <v>120.3</v>
      </c>
    </row>
    <row r="77" spans="1:30" x14ac:dyDescent="0.3">
      <c r="A77" s="1" t="s">
        <v>32</v>
      </c>
      <c r="B77" s="1">
        <v>2015</v>
      </c>
      <c r="C77" s="1" t="s">
        <v>31</v>
      </c>
      <c r="D77" s="1">
        <v>124</v>
      </c>
      <c r="E77" s="1">
        <v>125.5</v>
      </c>
      <c r="F77" s="1">
        <v>126.6</v>
      </c>
      <c r="G77" s="1">
        <v>125.2</v>
      </c>
      <c r="H77" s="1">
        <v>104.3</v>
      </c>
      <c r="I77" s="1">
        <v>121.3</v>
      </c>
      <c r="J77" s="1">
        <v>134.4</v>
      </c>
      <c r="K77" s="1">
        <v>122.9</v>
      </c>
      <c r="L77" s="1">
        <v>96.1</v>
      </c>
      <c r="M77" s="1">
        <v>126.6</v>
      </c>
      <c r="N77" s="1">
        <v>116.5</v>
      </c>
      <c r="O77" s="1">
        <v>128</v>
      </c>
      <c r="P77" s="1">
        <v>123.5</v>
      </c>
      <c r="Q77" s="1">
        <v>127.4</v>
      </c>
      <c r="R77" s="1">
        <v>121</v>
      </c>
      <c r="S77" s="1">
        <v>116.1</v>
      </c>
      <c r="T77" s="1">
        <v>120.2</v>
      </c>
      <c r="U77" s="1" t="s">
        <v>68</v>
      </c>
      <c r="V77" s="1">
        <v>113.4</v>
      </c>
      <c r="W77" s="1">
        <v>117.2</v>
      </c>
      <c r="X77" s="1">
        <v>113.7</v>
      </c>
      <c r="Y77" s="1">
        <v>107.9</v>
      </c>
      <c r="Z77" s="1">
        <v>114.6</v>
      </c>
      <c r="AA77" s="1">
        <v>120.8</v>
      </c>
      <c r="AB77" s="1">
        <v>111.4</v>
      </c>
      <c r="AC77" s="1">
        <v>113.4</v>
      </c>
      <c r="AD77" s="1">
        <v>118.5</v>
      </c>
    </row>
    <row r="78" spans="1:30" x14ac:dyDescent="0.3">
      <c r="A78" s="1" t="s">
        <v>34</v>
      </c>
      <c r="B78" s="1">
        <v>2015</v>
      </c>
      <c r="C78" s="1" t="s">
        <v>31</v>
      </c>
      <c r="D78" s="1">
        <v>123.4</v>
      </c>
      <c r="E78" s="1">
        <v>123.9</v>
      </c>
      <c r="F78" s="1">
        <v>123.8</v>
      </c>
      <c r="G78" s="1">
        <v>125</v>
      </c>
      <c r="H78" s="1">
        <v>108.5</v>
      </c>
      <c r="I78" s="1">
        <v>126.2</v>
      </c>
      <c r="J78" s="1">
        <v>133</v>
      </c>
      <c r="K78" s="1">
        <v>119.1</v>
      </c>
      <c r="L78" s="1">
        <v>99</v>
      </c>
      <c r="M78" s="1">
        <v>120.3</v>
      </c>
      <c r="N78" s="1">
        <v>117.3</v>
      </c>
      <c r="O78" s="1">
        <v>126.7</v>
      </c>
      <c r="P78" s="1">
        <v>123.1</v>
      </c>
      <c r="Q78" s="1">
        <v>124</v>
      </c>
      <c r="R78" s="1">
        <v>123.1</v>
      </c>
      <c r="S78" s="1">
        <v>119.3</v>
      </c>
      <c r="T78" s="1">
        <v>122.5</v>
      </c>
      <c r="U78" s="1" t="s">
        <v>68</v>
      </c>
      <c r="V78" s="1">
        <v>116.5</v>
      </c>
      <c r="W78" s="1">
        <v>118.1</v>
      </c>
      <c r="X78" s="1">
        <v>115.5</v>
      </c>
      <c r="Y78" s="1">
        <v>109.4</v>
      </c>
      <c r="Z78" s="1">
        <v>114.3</v>
      </c>
      <c r="AA78" s="1">
        <v>119.7</v>
      </c>
      <c r="AB78" s="1">
        <v>110.7</v>
      </c>
      <c r="AC78" s="1">
        <v>114</v>
      </c>
      <c r="AD78" s="1">
        <v>119.5</v>
      </c>
    </row>
    <row r="79" spans="1:30" x14ac:dyDescent="0.3">
      <c r="A79" s="1" t="s">
        <v>30</v>
      </c>
      <c r="B79" s="1">
        <v>2015</v>
      </c>
      <c r="C79" s="1" t="s">
        <v>35</v>
      </c>
      <c r="D79" s="1">
        <v>123.4</v>
      </c>
      <c r="E79" s="1">
        <v>124.4</v>
      </c>
      <c r="F79" s="1">
        <v>122.1</v>
      </c>
      <c r="G79" s="1">
        <v>125.8</v>
      </c>
      <c r="H79" s="1">
        <v>111.5</v>
      </c>
      <c r="I79" s="1">
        <v>129.4</v>
      </c>
      <c r="J79" s="1">
        <v>128.19999999999999</v>
      </c>
      <c r="K79" s="1">
        <v>118.8</v>
      </c>
      <c r="L79" s="1">
        <v>100</v>
      </c>
      <c r="M79" s="1">
        <v>118.6</v>
      </c>
      <c r="N79" s="1">
        <v>118.8</v>
      </c>
      <c r="O79" s="1">
        <v>126.8</v>
      </c>
      <c r="P79" s="1">
        <v>122.8</v>
      </c>
      <c r="Q79" s="1">
        <v>124.2</v>
      </c>
      <c r="R79" s="1">
        <v>125.4</v>
      </c>
      <c r="S79" s="1">
        <v>122.7</v>
      </c>
      <c r="T79" s="1">
        <v>125</v>
      </c>
      <c r="U79" s="1" t="s">
        <v>69</v>
      </c>
      <c r="V79" s="1">
        <v>120</v>
      </c>
      <c r="W79" s="1">
        <v>119.6</v>
      </c>
      <c r="X79" s="1">
        <v>117.7</v>
      </c>
      <c r="Y79" s="1">
        <v>110.9</v>
      </c>
      <c r="Z79" s="1">
        <v>114.8</v>
      </c>
      <c r="AA79" s="1">
        <v>118.7</v>
      </c>
      <c r="AB79" s="1">
        <v>110.8</v>
      </c>
      <c r="AC79" s="1">
        <v>115</v>
      </c>
      <c r="AD79" s="1">
        <v>120.6</v>
      </c>
    </row>
    <row r="80" spans="1:30" x14ac:dyDescent="0.3">
      <c r="A80" s="1" t="s">
        <v>32</v>
      </c>
      <c r="B80" s="1">
        <v>2015</v>
      </c>
      <c r="C80" s="1" t="s">
        <v>35</v>
      </c>
      <c r="D80" s="1">
        <v>124.3</v>
      </c>
      <c r="E80" s="1">
        <v>126.5</v>
      </c>
      <c r="F80" s="1">
        <v>119.5</v>
      </c>
      <c r="G80" s="1">
        <v>125.6</v>
      </c>
      <c r="H80" s="1">
        <v>104.9</v>
      </c>
      <c r="I80" s="1">
        <v>121.6</v>
      </c>
      <c r="J80" s="1">
        <v>131.80000000000001</v>
      </c>
      <c r="K80" s="1">
        <v>125.1</v>
      </c>
      <c r="L80" s="1">
        <v>95</v>
      </c>
      <c r="M80" s="1">
        <v>127.7</v>
      </c>
      <c r="N80" s="1">
        <v>116.8</v>
      </c>
      <c r="O80" s="1">
        <v>128.6</v>
      </c>
      <c r="P80" s="1">
        <v>123.7</v>
      </c>
      <c r="Q80" s="1">
        <v>128.1</v>
      </c>
      <c r="R80" s="1">
        <v>121.3</v>
      </c>
      <c r="S80" s="1">
        <v>116.5</v>
      </c>
      <c r="T80" s="1">
        <v>120.6</v>
      </c>
      <c r="U80" s="1" t="s">
        <v>69</v>
      </c>
      <c r="V80" s="1">
        <v>114</v>
      </c>
      <c r="W80" s="1">
        <v>117.7</v>
      </c>
      <c r="X80" s="1">
        <v>114.1</v>
      </c>
      <c r="Y80" s="1">
        <v>106.8</v>
      </c>
      <c r="Z80" s="1">
        <v>114.9</v>
      </c>
      <c r="AA80" s="1">
        <v>120.4</v>
      </c>
      <c r="AB80" s="1">
        <v>111.7</v>
      </c>
      <c r="AC80" s="1">
        <v>113.2</v>
      </c>
      <c r="AD80" s="1">
        <v>118.7</v>
      </c>
    </row>
    <row r="81" spans="1:30" x14ac:dyDescent="0.3">
      <c r="A81" s="1" t="s">
        <v>34</v>
      </c>
      <c r="B81" s="1">
        <v>2015</v>
      </c>
      <c r="C81" s="1" t="s">
        <v>35</v>
      </c>
      <c r="D81" s="1">
        <v>123.7</v>
      </c>
      <c r="E81" s="1">
        <v>125.1</v>
      </c>
      <c r="F81" s="1">
        <v>121.1</v>
      </c>
      <c r="G81" s="1">
        <v>125.7</v>
      </c>
      <c r="H81" s="1">
        <v>109.1</v>
      </c>
      <c r="I81" s="1">
        <v>125.8</v>
      </c>
      <c r="J81" s="1">
        <v>129.4</v>
      </c>
      <c r="K81" s="1">
        <v>120.9</v>
      </c>
      <c r="L81" s="1">
        <v>98.3</v>
      </c>
      <c r="M81" s="1">
        <v>121.6</v>
      </c>
      <c r="N81" s="1">
        <v>118</v>
      </c>
      <c r="O81" s="1">
        <v>127.6</v>
      </c>
      <c r="P81" s="1">
        <v>123.1</v>
      </c>
      <c r="Q81" s="1">
        <v>125.2</v>
      </c>
      <c r="R81" s="1">
        <v>123.8</v>
      </c>
      <c r="S81" s="1">
        <v>120.1</v>
      </c>
      <c r="T81" s="1">
        <v>123.3</v>
      </c>
      <c r="U81" s="1" t="s">
        <v>69</v>
      </c>
      <c r="V81" s="1">
        <v>117.7</v>
      </c>
      <c r="W81" s="1">
        <v>118.7</v>
      </c>
      <c r="X81" s="1">
        <v>116.3</v>
      </c>
      <c r="Y81" s="1">
        <v>108.7</v>
      </c>
      <c r="Z81" s="1">
        <v>114.9</v>
      </c>
      <c r="AA81" s="1">
        <v>119.7</v>
      </c>
      <c r="AB81" s="1">
        <v>111.2</v>
      </c>
      <c r="AC81" s="1">
        <v>114.1</v>
      </c>
      <c r="AD81" s="1">
        <v>119.7</v>
      </c>
    </row>
    <row r="82" spans="1:30" x14ac:dyDescent="0.3">
      <c r="A82" s="1" t="s">
        <v>30</v>
      </c>
      <c r="B82" s="1">
        <v>2015</v>
      </c>
      <c r="C82" s="1" t="s">
        <v>37</v>
      </c>
      <c r="D82" s="1">
        <v>123.3</v>
      </c>
      <c r="E82" s="1">
        <v>124.7</v>
      </c>
      <c r="F82" s="1">
        <v>118.9</v>
      </c>
      <c r="G82" s="1">
        <v>126</v>
      </c>
      <c r="H82" s="1">
        <v>111.8</v>
      </c>
      <c r="I82" s="1">
        <v>130.9</v>
      </c>
      <c r="J82" s="1">
        <v>128</v>
      </c>
      <c r="K82" s="1">
        <v>119.9</v>
      </c>
      <c r="L82" s="1">
        <v>98.9</v>
      </c>
      <c r="M82" s="1">
        <v>119.4</v>
      </c>
      <c r="N82" s="1">
        <v>118.9</v>
      </c>
      <c r="O82" s="1">
        <v>127.7</v>
      </c>
      <c r="P82" s="1">
        <v>123.1</v>
      </c>
      <c r="Q82" s="1">
        <v>124.7</v>
      </c>
      <c r="R82" s="1">
        <v>126</v>
      </c>
      <c r="S82" s="1">
        <v>122.9</v>
      </c>
      <c r="T82" s="1">
        <v>125.5</v>
      </c>
      <c r="U82" s="1" t="s">
        <v>70</v>
      </c>
      <c r="V82" s="1">
        <v>120.6</v>
      </c>
      <c r="W82" s="1">
        <v>120.2</v>
      </c>
      <c r="X82" s="1">
        <v>118.2</v>
      </c>
      <c r="Y82" s="1">
        <v>111.6</v>
      </c>
      <c r="Z82" s="1">
        <v>115.5</v>
      </c>
      <c r="AA82" s="1">
        <v>119.4</v>
      </c>
      <c r="AB82" s="1">
        <v>110.8</v>
      </c>
      <c r="AC82" s="1">
        <v>115.5</v>
      </c>
      <c r="AD82" s="1">
        <v>121.1</v>
      </c>
    </row>
    <row r="83" spans="1:30" x14ac:dyDescent="0.3">
      <c r="A83" s="1" t="s">
        <v>32</v>
      </c>
      <c r="B83" s="1">
        <v>2015</v>
      </c>
      <c r="C83" s="1" t="s">
        <v>37</v>
      </c>
      <c r="D83" s="1">
        <v>124</v>
      </c>
      <c r="E83" s="1">
        <v>126.7</v>
      </c>
      <c r="F83" s="1">
        <v>113.5</v>
      </c>
      <c r="G83" s="1">
        <v>125.9</v>
      </c>
      <c r="H83" s="1">
        <v>104.8</v>
      </c>
      <c r="I83" s="1">
        <v>123.8</v>
      </c>
      <c r="J83" s="1">
        <v>131.4</v>
      </c>
      <c r="K83" s="1">
        <v>127.2</v>
      </c>
      <c r="L83" s="1">
        <v>93.2</v>
      </c>
      <c r="M83" s="1">
        <v>127.4</v>
      </c>
      <c r="N83" s="1">
        <v>117</v>
      </c>
      <c r="O83" s="1">
        <v>129.19999999999999</v>
      </c>
      <c r="P83" s="1">
        <v>123.9</v>
      </c>
      <c r="Q83" s="1">
        <v>128.80000000000001</v>
      </c>
      <c r="R83" s="1">
        <v>121.7</v>
      </c>
      <c r="S83" s="1">
        <v>116.9</v>
      </c>
      <c r="T83" s="1">
        <v>120.9</v>
      </c>
      <c r="U83" s="1" t="s">
        <v>70</v>
      </c>
      <c r="V83" s="1">
        <v>114.4</v>
      </c>
      <c r="W83" s="1">
        <v>118</v>
      </c>
      <c r="X83" s="1">
        <v>114.3</v>
      </c>
      <c r="Y83" s="1">
        <v>108.4</v>
      </c>
      <c r="Z83" s="1">
        <v>115.4</v>
      </c>
      <c r="AA83" s="1">
        <v>120.6</v>
      </c>
      <c r="AB83" s="1">
        <v>111.3</v>
      </c>
      <c r="AC83" s="1">
        <v>113.8</v>
      </c>
      <c r="AD83" s="1">
        <v>119.1</v>
      </c>
    </row>
    <row r="84" spans="1:30" x14ac:dyDescent="0.3">
      <c r="A84" s="1" t="s">
        <v>34</v>
      </c>
      <c r="B84" s="1">
        <v>2015</v>
      </c>
      <c r="C84" s="1" t="s">
        <v>37</v>
      </c>
      <c r="D84" s="1">
        <v>123.5</v>
      </c>
      <c r="E84" s="1">
        <v>125.4</v>
      </c>
      <c r="F84" s="1">
        <v>116.8</v>
      </c>
      <c r="G84" s="1">
        <v>126</v>
      </c>
      <c r="H84" s="1">
        <v>109.2</v>
      </c>
      <c r="I84" s="1">
        <v>127.6</v>
      </c>
      <c r="J84" s="1">
        <v>129.19999999999999</v>
      </c>
      <c r="K84" s="1">
        <v>122.4</v>
      </c>
      <c r="L84" s="1">
        <v>97</v>
      </c>
      <c r="M84" s="1">
        <v>122.1</v>
      </c>
      <c r="N84" s="1">
        <v>118.1</v>
      </c>
      <c r="O84" s="1">
        <v>128.4</v>
      </c>
      <c r="P84" s="1">
        <v>123.4</v>
      </c>
      <c r="Q84" s="1">
        <v>125.8</v>
      </c>
      <c r="R84" s="1">
        <v>124.3</v>
      </c>
      <c r="S84" s="1">
        <v>120.4</v>
      </c>
      <c r="T84" s="1">
        <v>123.7</v>
      </c>
      <c r="U84" s="1" t="s">
        <v>70</v>
      </c>
      <c r="V84" s="1">
        <v>118.3</v>
      </c>
      <c r="W84" s="1">
        <v>119.2</v>
      </c>
      <c r="X84" s="1">
        <v>116.7</v>
      </c>
      <c r="Y84" s="1">
        <v>109.9</v>
      </c>
      <c r="Z84" s="1">
        <v>115.4</v>
      </c>
      <c r="AA84" s="1">
        <v>120.1</v>
      </c>
      <c r="AB84" s="1">
        <v>111</v>
      </c>
      <c r="AC84" s="1">
        <v>114.7</v>
      </c>
      <c r="AD84" s="1">
        <v>120.2</v>
      </c>
    </row>
    <row r="85" spans="1:30" x14ac:dyDescent="0.3">
      <c r="A85" s="1" t="s">
        <v>30</v>
      </c>
      <c r="B85" s="1">
        <v>2015</v>
      </c>
      <c r="C85" s="1" t="s">
        <v>38</v>
      </c>
      <c r="D85" s="1">
        <v>123.3</v>
      </c>
      <c r="E85" s="1">
        <v>125.5</v>
      </c>
      <c r="F85" s="1">
        <v>117.2</v>
      </c>
      <c r="G85" s="1">
        <v>126.8</v>
      </c>
      <c r="H85" s="1">
        <v>111.9</v>
      </c>
      <c r="I85" s="1">
        <v>134.19999999999999</v>
      </c>
      <c r="J85" s="1">
        <v>127.5</v>
      </c>
      <c r="K85" s="1">
        <v>121.5</v>
      </c>
      <c r="L85" s="1">
        <v>97.8</v>
      </c>
      <c r="M85" s="1">
        <v>119.8</v>
      </c>
      <c r="N85" s="1">
        <v>119.4</v>
      </c>
      <c r="O85" s="1">
        <v>128.69999999999999</v>
      </c>
      <c r="P85" s="1">
        <v>123.6</v>
      </c>
      <c r="Q85" s="1">
        <v>125.7</v>
      </c>
      <c r="R85" s="1">
        <v>126.4</v>
      </c>
      <c r="S85" s="1">
        <v>123.3</v>
      </c>
      <c r="T85" s="1">
        <v>126</v>
      </c>
      <c r="U85" s="1" t="s">
        <v>71</v>
      </c>
      <c r="V85" s="1">
        <v>121.2</v>
      </c>
      <c r="W85" s="1">
        <v>120.9</v>
      </c>
      <c r="X85" s="1">
        <v>118.6</v>
      </c>
      <c r="Y85" s="1">
        <v>111.9</v>
      </c>
      <c r="Z85" s="1">
        <v>116.2</v>
      </c>
      <c r="AA85" s="1">
        <v>119.9</v>
      </c>
      <c r="AB85" s="1">
        <v>111.6</v>
      </c>
      <c r="AC85" s="1">
        <v>116</v>
      </c>
      <c r="AD85" s="1">
        <v>121.5</v>
      </c>
    </row>
    <row r="86" spans="1:30" x14ac:dyDescent="0.3">
      <c r="A86" s="1" t="s">
        <v>32</v>
      </c>
      <c r="B86" s="1">
        <v>2015</v>
      </c>
      <c r="C86" s="1" t="s">
        <v>38</v>
      </c>
      <c r="D86" s="1">
        <v>123.8</v>
      </c>
      <c r="E86" s="1">
        <v>128.19999999999999</v>
      </c>
      <c r="F86" s="1">
        <v>110</v>
      </c>
      <c r="G86" s="1">
        <v>126.3</v>
      </c>
      <c r="H86" s="1">
        <v>104.5</v>
      </c>
      <c r="I86" s="1">
        <v>130.6</v>
      </c>
      <c r="J86" s="1">
        <v>130.80000000000001</v>
      </c>
      <c r="K86" s="1">
        <v>131.30000000000001</v>
      </c>
      <c r="L86" s="1">
        <v>91.6</v>
      </c>
      <c r="M86" s="1">
        <v>127.7</v>
      </c>
      <c r="N86" s="1">
        <v>117.2</v>
      </c>
      <c r="O86" s="1">
        <v>129.5</v>
      </c>
      <c r="P86" s="1">
        <v>124.6</v>
      </c>
      <c r="Q86" s="1">
        <v>130.1</v>
      </c>
      <c r="R86" s="1">
        <v>122.1</v>
      </c>
      <c r="S86" s="1">
        <v>117.2</v>
      </c>
      <c r="T86" s="1">
        <v>121.3</v>
      </c>
      <c r="U86" s="1" t="s">
        <v>71</v>
      </c>
      <c r="V86" s="1">
        <v>114.7</v>
      </c>
      <c r="W86" s="1">
        <v>118.4</v>
      </c>
      <c r="X86" s="1">
        <v>114.6</v>
      </c>
      <c r="Y86" s="1">
        <v>108.4</v>
      </c>
      <c r="Z86" s="1">
        <v>115.6</v>
      </c>
      <c r="AA86" s="1">
        <v>121.7</v>
      </c>
      <c r="AB86" s="1">
        <v>111.8</v>
      </c>
      <c r="AC86" s="1">
        <v>114.2</v>
      </c>
      <c r="AD86" s="1">
        <v>119.7</v>
      </c>
    </row>
    <row r="87" spans="1:30" x14ac:dyDescent="0.3">
      <c r="A87" s="1" t="s">
        <v>34</v>
      </c>
      <c r="B87" s="1">
        <v>2015</v>
      </c>
      <c r="C87" s="1" t="s">
        <v>38</v>
      </c>
      <c r="D87" s="1">
        <v>123.5</v>
      </c>
      <c r="E87" s="1">
        <v>126.4</v>
      </c>
      <c r="F87" s="1">
        <v>114.4</v>
      </c>
      <c r="G87" s="1">
        <v>126.6</v>
      </c>
      <c r="H87" s="1">
        <v>109.2</v>
      </c>
      <c r="I87" s="1">
        <v>132.5</v>
      </c>
      <c r="J87" s="1">
        <v>128.6</v>
      </c>
      <c r="K87" s="1">
        <v>124.8</v>
      </c>
      <c r="L87" s="1">
        <v>95.7</v>
      </c>
      <c r="M87" s="1">
        <v>122.4</v>
      </c>
      <c r="N87" s="1">
        <v>118.5</v>
      </c>
      <c r="O87" s="1">
        <v>129.1</v>
      </c>
      <c r="P87" s="1">
        <v>124</v>
      </c>
      <c r="Q87" s="1">
        <v>126.9</v>
      </c>
      <c r="R87" s="1">
        <v>124.7</v>
      </c>
      <c r="S87" s="1">
        <v>120.8</v>
      </c>
      <c r="T87" s="1">
        <v>124.1</v>
      </c>
      <c r="U87" s="1" t="s">
        <v>71</v>
      </c>
      <c r="V87" s="1">
        <v>118.7</v>
      </c>
      <c r="W87" s="1">
        <v>119.7</v>
      </c>
      <c r="X87" s="1">
        <v>117.1</v>
      </c>
      <c r="Y87" s="1">
        <v>110.1</v>
      </c>
      <c r="Z87" s="1">
        <v>115.9</v>
      </c>
      <c r="AA87" s="1">
        <v>121</v>
      </c>
      <c r="AB87" s="1">
        <v>111.7</v>
      </c>
      <c r="AC87" s="1">
        <v>115.1</v>
      </c>
      <c r="AD87" s="1">
        <v>120.7</v>
      </c>
    </row>
    <row r="88" spans="1:30" x14ac:dyDescent="0.3">
      <c r="A88" s="1" t="s">
        <v>30</v>
      </c>
      <c r="B88" s="1">
        <v>2015</v>
      </c>
      <c r="C88" s="1" t="s">
        <v>40</v>
      </c>
      <c r="D88" s="1">
        <v>123.5</v>
      </c>
      <c r="E88" s="1">
        <v>127.1</v>
      </c>
      <c r="F88" s="1">
        <v>117.3</v>
      </c>
      <c r="G88" s="1">
        <v>127.7</v>
      </c>
      <c r="H88" s="1">
        <v>112.5</v>
      </c>
      <c r="I88" s="1">
        <v>134.1</v>
      </c>
      <c r="J88" s="1">
        <v>128.5</v>
      </c>
      <c r="K88" s="1">
        <v>124.3</v>
      </c>
      <c r="L88" s="1">
        <v>97.6</v>
      </c>
      <c r="M88" s="1">
        <v>120.7</v>
      </c>
      <c r="N88" s="1">
        <v>120.2</v>
      </c>
      <c r="O88" s="1">
        <v>129.80000000000001</v>
      </c>
      <c r="P88" s="1">
        <v>124.4</v>
      </c>
      <c r="Q88" s="1">
        <v>126.7</v>
      </c>
      <c r="R88" s="1">
        <v>127.3</v>
      </c>
      <c r="S88" s="1">
        <v>124.1</v>
      </c>
      <c r="T88" s="1">
        <v>126.8</v>
      </c>
      <c r="U88" s="1" t="s">
        <v>72</v>
      </c>
      <c r="V88" s="1">
        <v>121.9</v>
      </c>
      <c r="W88" s="1">
        <v>121.5</v>
      </c>
      <c r="X88" s="1">
        <v>119.4</v>
      </c>
      <c r="Y88" s="1">
        <v>113.3</v>
      </c>
      <c r="Z88" s="1">
        <v>116.7</v>
      </c>
      <c r="AA88" s="1">
        <v>120.5</v>
      </c>
      <c r="AB88" s="1">
        <v>112.3</v>
      </c>
      <c r="AC88" s="1">
        <v>116.9</v>
      </c>
      <c r="AD88" s="1">
        <v>122.4</v>
      </c>
    </row>
    <row r="89" spans="1:30" x14ac:dyDescent="0.3">
      <c r="A89" s="1" t="s">
        <v>32</v>
      </c>
      <c r="B89" s="1">
        <v>2015</v>
      </c>
      <c r="C89" s="1" t="s">
        <v>40</v>
      </c>
      <c r="D89" s="1">
        <v>123.8</v>
      </c>
      <c r="E89" s="1">
        <v>129.69999999999999</v>
      </c>
      <c r="F89" s="1">
        <v>111.3</v>
      </c>
      <c r="G89" s="1">
        <v>126.6</v>
      </c>
      <c r="H89" s="1">
        <v>105.2</v>
      </c>
      <c r="I89" s="1">
        <v>130.80000000000001</v>
      </c>
      <c r="J89" s="1">
        <v>135.6</v>
      </c>
      <c r="K89" s="1">
        <v>142.6</v>
      </c>
      <c r="L89" s="1">
        <v>90.8</v>
      </c>
      <c r="M89" s="1">
        <v>128.80000000000001</v>
      </c>
      <c r="N89" s="1">
        <v>117.7</v>
      </c>
      <c r="O89" s="1">
        <v>129.9</v>
      </c>
      <c r="P89" s="1">
        <v>126.1</v>
      </c>
      <c r="Q89" s="1">
        <v>131.30000000000001</v>
      </c>
      <c r="R89" s="1">
        <v>122.4</v>
      </c>
      <c r="S89" s="1">
        <v>117.4</v>
      </c>
      <c r="T89" s="1">
        <v>121.6</v>
      </c>
      <c r="U89" s="1" t="s">
        <v>72</v>
      </c>
      <c r="V89" s="1">
        <v>114.9</v>
      </c>
      <c r="W89" s="1">
        <v>118.7</v>
      </c>
      <c r="X89" s="1">
        <v>114.9</v>
      </c>
      <c r="Y89" s="1">
        <v>110.8</v>
      </c>
      <c r="Z89" s="1">
        <v>116</v>
      </c>
      <c r="AA89" s="1">
        <v>122</v>
      </c>
      <c r="AB89" s="1">
        <v>112.4</v>
      </c>
      <c r="AC89" s="1">
        <v>115.2</v>
      </c>
      <c r="AD89" s="1">
        <v>120.7</v>
      </c>
    </row>
    <row r="90" spans="1:30" x14ac:dyDescent="0.3">
      <c r="A90" s="1" t="s">
        <v>34</v>
      </c>
      <c r="B90" s="1">
        <v>2015</v>
      </c>
      <c r="C90" s="1" t="s">
        <v>40</v>
      </c>
      <c r="D90" s="1">
        <v>123.6</v>
      </c>
      <c r="E90" s="1">
        <v>128</v>
      </c>
      <c r="F90" s="1">
        <v>115</v>
      </c>
      <c r="G90" s="1">
        <v>127.3</v>
      </c>
      <c r="H90" s="1">
        <v>109.8</v>
      </c>
      <c r="I90" s="1">
        <v>132.6</v>
      </c>
      <c r="J90" s="1">
        <v>130.9</v>
      </c>
      <c r="K90" s="1">
        <v>130.5</v>
      </c>
      <c r="L90" s="1">
        <v>95.3</v>
      </c>
      <c r="M90" s="1">
        <v>123.4</v>
      </c>
      <c r="N90" s="1">
        <v>119.2</v>
      </c>
      <c r="O90" s="1">
        <v>129.80000000000001</v>
      </c>
      <c r="P90" s="1">
        <v>125</v>
      </c>
      <c r="Q90" s="1">
        <v>127.9</v>
      </c>
      <c r="R90" s="1">
        <v>125.4</v>
      </c>
      <c r="S90" s="1">
        <v>121.3</v>
      </c>
      <c r="T90" s="1">
        <v>124.7</v>
      </c>
      <c r="U90" s="1" t="s">
        <v>72</v>
      </c>
      <c r="V90" s="1">
        <v>119.2</v>
      </c>
      <c r="W90" s="1">
        <v>120.2</v>
      </c>
      <c r="X90" s="1">
        <v>117.7</v>
      </c>
      <c r="Y90" s="1">
        <v>112</v>
      </c>
      <c r="Z90" s="1">
        <v>116.3</v>
      </c>
      <c r="AA90" s="1">
        <v>121.4</v>
      </c>
      <c r="AB90" s="1">
        <v>112.3</v>
      </c>
      <c r="AC90" s="1">
        <v>116.1</v>
      </c>
      <c r="AD90" s="1">
        <v>121.6</v>
      </c>
    </row>
    <row r="91" spans="1:30" x14ac:dyDescent="0.3">
      <c r="A91" s="1" t="s">
        <v>30</v>
      </c>
      <c r="B91" s="1">
        <v>2015</v>
      </c>
      <c r="C91" s="1" t="s">
        <v>41</v>
      </c>
      <c r="D91" s="1">
        <v>124.1</v>
      </c>
      <c r="E91" s="1">
        <v>130.4</v>
      </c>
      <c r="F91" s="1">
        <v>122.1</v>
      </c>
      <c r="G91" s="1">
        <v>128.69999999999999</v>
      </c>
      <c r="H91" s="1">
        <v>114.1</v>
      </c>
      <c r="I91" s="1">
        <v>133.19999999999999</v>
      </c>
      <c r="J91" s="1">
        <v>135.19999999999999</v>
      </c>
      <c r="K91" s="1">
        <v>131.9</v>
      </c>
      <c r="L91" s="1">
        <v>96.3</v>
      </c>
      <c r="M91" s="1">
        <v>123</v>
      </c>
      <c r="N91" s="1">
        <v>121.1</v>
      </c>
      <c r="O91" s="1">
        <v>131.19999999999999</v>
      </c>
      <c r="P91" s="1">
        <v>126.6</v>
      </c>
      <c r="Q91" s="1">
        <v>128.19999999999999</v>
      </c>
      <c r="R91" s="1">
        <v>128.4</v>
      </c>
      <c r="S91" s="1">
        <v>125.1</v>
      </c>
      <c r="T91" s="1">
        <v>128</v>
      </c>
      <c r="U91" s="1" t="s">
        <v>73</v>
      </c>
      <c r="V91" s="1">
        <v>122.6</v>
      </c>
      <c r="W91" s="1">
        <v>122.8</v>
      </c>
      <c r="X91" s="1">
        <v>120.4</v>
      </c>
      <c r="Y91" s="1">
        <v>114.2</v>
      </c>
      <c r="Z91" s="1">
        <v>117.9</v>
      </c>
      <c r="AA91" s="1">
        <v>122</v>
      </c>
      <c r="AB91" s="1">
        <v>113</v>
      </c>
      <c r="AC91" s="1">
        <v>117.9</v>
      </c>
      <c r="AD91" s="1">
        <v>124.1</v>
      </c>
    </row>
    <row r="92" spans="1:30" x14ac:dyDescent="0.3">
      <c r="A92" s="1" t="s">
        <v>32</v>
      </c>
      <c r="B92" s="1">
        <v>2015</v>
      </c>
      <c r="C92" s="1" t="s">
        <v>41</v>
      </c>
      <c r="D92" s="1">
        <v>123.6</v>
      </c>
      <c r="E92" s="1">
        <v>134.4</v>
      </c>
      <c r="F92" s="1">
        <v>120.9</v>
      </c>
      <c r="G92" s="1">
        <v>127.3</v>
      </c>
      <c r="H92" s="1">
        <v>106</v>
      </c>
      <c r="I92" s="1">
        <v>132.30000000000001</v>
      </c>
      <c r="J92" s="1">
        <v>146.69999999999999</v>
      </c>
      <c r="K92" s="1">
        <v>148.1</v>
      </c>
      <c r="L92" s="1">
        <v>89.8</v>
      </c>
      <c r="M92" s="1">
        <v>130.5</v>
      </c>
      <c r="N92" s="1">
        <v>118</v>
      </c>
      <c r="O92" s="1">
        <v>130.5</v>
      </c>
      <c r="P92" s="1">
        <v>128.5</v>
      </c>
      <c r="Q92" s="1">
        <v>132.1</v>
      </c>
      <c r="R92" s="1">
        <v>123.2</v>
      </c>
      <c r="S92" s="1">
        <v>117.6</v>
      </c>
      <c r="T92" s="1">
        <v>122.3</v>
      </c>
      <c r="U92" s="1" t="s">
        <v>73</v>
      </c>
      <c r="V92" s="1">
        <v>115.1</v>
      </c>
      <c r="W92" s="1">
        <v>119.2</v>
      </c>
      <c r="X92" s="1">
        <v>115.4</v>
      </c>
      <c r="Y92" s="1">
        <v>111.7</v>
      </c>
      <c r="Z92" s="1">
        <v>116.2</v>
      </c>
      <c r="AA92" s="1">
        <v>123.8</v>
      </c>
      <c r="AB92" s="1">
        <v>112.5</v>
      </c>
      <c r="AC92" s="1">
        <v>116</v>
      </c>
      <c r="AD92" s="1">
        <v>121.7</v>
      </c>
    </row>
    <row r="93" spans="1:30" x14ac:dyDescent="0.3">
      <c r="A93" s="1" t="s">
        <v>34</v>
      </c>
      <c r="B93" s="1">
        <v>2015</v>
      </c>
      <c r="C93" s="1" t="s">
        <v>41</v>
      </c>
      <c r="D93" s="1">
        <v>123.9</v>
      </c>
      <c r="E93" s="1">
        <v>131.80000000000001</v>
      </c>
      <c r="F93" s="1">
        <v>121.6</v>
      </c>
      <c r="G93" s="1">
        <v>128.19999999999999</v>
      </c>
      <c r="H93" s="1">
        <v>111.1</v>
      </c>
      <c r="I93" s="1">
        <v>132.80000000000001</v>
      </c>
      <c r="J93" s="1">
        <v>139.1</v>
      </c>
      <c r="K93" s="1">
        <v>137.4</v>
      </c>
      <c r="L93" s="1">
        <v>94.1</v>
      </c>
      <c r="M93" s="1">
        <v>125.5</v>
      </c>
      <c r="N93" s="1">
        <v>119.8</v>
      </c>
      <c r="O93" s="1">
        <v>130.9</v>
      </c>
      <c r="P93" s="1">
        <v>127.3</v>
      </c>
      <c r="Q93" s="1">
        <v>129.19999999999999</v>
      </c>
      <c r="R93" s="1">
        <v>126.4</v>
      </c>
      <c r="S93" s="1">
        <v>122</v>
      </c>
      <c r="T93" s="1">
        <v>125.7</v>
      </c>
      <c r="U93" s="1" t="s">
        <v>73</v>
      </c>
      <c r="V93" s="1">
        <v>119.8</v>
      </c>
      <c r="W93" s="1">
        <v>121.1</v>
      </c>
      <c r="X93" s="1">
        <v>118.5</v>
      </c>
      <c r="Y93" s="1">
        <v>112.9</v>
      </c>
      <c r="Z93" s="1">
        <v>116.9</v>
      </c>
      <c r="AA93" s="1">
        <v>123.1</v>
      </c>
      <c r="AB93" s="1">
        <v>112.8</v>
      </c>
      <c r="AC93" s="1">
        <v>117</v>
      </c>
      <c r="AD93" s="1">
        <v>123</v>
      </c>
    </row>
    <row r="94" spans="1:30" x14ac:dyDescent="0.3">
      <c r="A94" s="1" t="s">
        <v>30</v>
      </c>
      <c r="B94" s="1">
        <v>2015</v>
      </c>
      <c r="C94" s="1" t="s">
        <v>43</v>
      </c>
      <c r="D94" s="1">
        <v>124</v>
      </c>
      <c r="E94" s="1">
        <v>131.5</v>
      </c>
      <c r="F94" s="1">
        <v>122</v>
      </c>
      <c r="G94" s="1">
        <v>128.69999999999999</v>
      </c>
      <c r="H94" s="1">
        <v>113.5</v>
      </c>
      <c r="I94" s="1">
        <v>133.30000000000001</v>
      </c>
      <c r="J94" s="1">
        <v>140.80000000000001</v>
      </c>
      <c r="K94" s="1">
        <v>133.80000000000001</v>
      </c>
      <c r="L94" s="1">
        <v>94.1</v>
      </c>
      <c r="M94" s="1">
        <v>123.4</v>
      </c>
      <c r="N94" s="1">
        <v>121</v>
      </c>
      <c r="O94" s="1">
        <v>131.69999999999999</v>
      </c>
      <c r="P94" s="1">
        <v>127.5</v>
      </c>
      <c r="Q94" s="1">
        <v>129.4</v>
      </c>
      <c r="R94" s="1">
        <v>128.80000000000001</v>
      </c>
      <c r="S94" s="1">
        <v>125.5</v>
      </c>
      <c r="T94" s="1">
        <v>128.30000000000001</v>
      </c>
      <c r="U94" s="1" t="s">
        <v>74</v>
      </c>
      <c r="V94" s="1">
        <v>123</v>
      </c>
      <c r="W94" s="1">
        <v>123</v>
      </c>
      <c r="X94" s="1">
        <v>120.8</v>
      </c>
      <c r="Y94" s="1">
        <v>114.1</v>
      </c>
      <c r="Z94" s="1">
        <v>118</v>
      </c>
      <c r="AA94" s="1">
        <v>122.9</v>
      </c>
      <c r="AB94" s="1">
        <v>112.7</v>
      </c>
      <c r="AC94" s="1">
        <v>118.1</v>
      </c>
      <c r="AD94" s="1">
        <v>124.7</v>
      </c>
    </row>
    <row r="95" spans="1:30" x14ac:dyDescent="0.3">
      <c r="A95" s="1" t="s">
        <v>32</v>
      </c>
      <c r="B95" s="1">
        <v>2015</v>
      </c>
      <c r="C95" s="1" t="s">
        <v>43</v>
      </c>
      <c r="D95" s="1">
        <v>123.2</v>
      </c>
      <c r="E95" s="1">
        <v>134.30000000000001</v>
      </c>
      <c r="F95" s="1">
        <v>119.5</v>
      </c>
      <c r="G95" s="1">
        <v>127.7</v>
      </c>
      <c r="H95" s="1">
        <v>106.3</v>
      </c>
      <c r="I95" s="1">
        <v>132.80000000000001</v>
      </c>
      <c r="J95" s="1">
        <v>153.5</v>
      </c>
      <c r="K95" s="1">
        <v>149.5</v>
      </c>
      <c r="L95" s="1">
        <v>85.7</v>
      </c>
      <c r="M95" s="1">
        <v>131.5</v>
      </c>
      <c r="N95" s="1">
        <v>118.3</v>
      </c>
      <c r="O95" s="1">
        <v>131.1</v>
      </c>
      <c r="P95" s="1">
        <v>129.5</v>
      </c>
      <c r="Q95" s="1">
        <v>133.1</v>
      </c>
      <c r="R95" s="1">
        <v>123.5</v>
      </c>
      <c r="S95" s="1">
        <v>117.9</v>
      </c>
      <c r="T95" s="1">
        <v>122.7</v>
      </c>
      <c r="U95" s="1" t="s">
        <v>74</v>
      </c>
      <c r="V95" s="1">
        <v>115.3</v>
      </c>
      <c r="W95" s="1">
        <v>119.5</v>
      </c>
      <c r="X95" s="1">
        <v>116</v>
      </c>
      <c r="Y95" s="1">
        <v>111.5</v>
      </c>
      <c r="Z95" s="1">
        <v>116.6</v>
      </c>
      <c r="AA95" s="1">
        <v>125.4</v>
      </c>
      <c r="AB95" s="1">
        <v>111.7</v>
      </c>
      <c r="AC95" s="1">
        <v>116.3</v>
      </c>
      <c r="AD95" s="1">
        <v>122.4</v>
      </c>
    </row>
    <row r="96" spans="1:30" x14ac:dyDescent="0.3">
      <c r="A96" s="1" t="s">
        <v>34</v>
      </c>
      <c r="B96" s="1">
        <v>2015</v>
      </c>
      <c r="C96" s="1" t="s">
        <v>43</v>
      </c>
      <c r="D96" s="1">
        <v>123.7</v>
      </c>
      <c r="E96" s="1">
        <v>132.5</v>
      </c>
      <c r="F96" s="1">
        <v>121</v>
      </c>
      <c r="G96" s="1">
        <v>128.30000000000001</v>
      </c>
      <c r="H96" s="1">
        <v>110.9</v>
      </c>
      <c r="I96" s="1">
        <v>133.1</v>
      </c>
      <c r="J96" s="1">
        <v>145.1</v>
      </c>
      <c r="K96" s="1">
        <v>139.1</v>
      </c>
      <c r="L96" s="1">
        <v>91.3</v>
      </c>
      <c r="M96" s="1">
        <v>126.1</v>
      </c>
      <c r="N96" s="1">
        <v>119.9</v>
      </c>
      <c r="O96" s="1">
        <v>131.4</v>
      </c>
      <c r="P96" s="1">
        <v>128.19999999999999</v>
      </c>
      <c r="Q96" s="1">
        <v>130.4</v>
      </c>
      <c r="R96" s="1">
        <v>126.7</v>
      </c>
      <c r="S96" s="1">
        <v>122.3</v>
      </c>
      <c r="T96" s="1">
        <v>126.1</v>
      </c>
      <c r="U96" s="1" t="s">
        <v>74</v>
      </c>
      <c r="V96" s="1">
        <v>120.1</v>
      </c>
      <c r="W96" s="1">
        <v>121.3</v>
      </c>
      <c r="X96" s="1">
        <v>119</v>
      </c>
      <c r="Y96" s="1">
        <v>112.7</v>
      </c>
      <c r="Z96" s="1">
        <v>117.2</v>
      </c>
      <c r="AA96" s="1">
        <v>124.4</v>
      </c>
      <c r="AB96" s="1">
        <v>112.3</v>
      </c>
      <c r="AC96" s="1">
        <v>117.2</v>
      </c>
      <c r="AD96" s="1">
        <v>123.6</v>
      </c>
    </row>
    <row r="97" spans="1:30" x14ac:dyDescent="0.3">
      <c r="A97" s="1" t="s">
        <v>30</v>
      </c>
      <c r="B97" s="1">
        <v>2015</v>
      </c>
      <c r="C97" s="1" t="s">
        <v>45</v>
      </c>
      <c r="D97" s="1">
        <v>124.7</v>
      </c>
      <c r="E97" s="1">
        <v>131.30000000000001</v>
      </c>
      <c r="F97" s="1">
        <v>121.3</v>
      </c>
      <c r="G97" s="1">
        <v>128.80000000000001</v>
      </c>
      <c r="H97" s="1">
        <v>114</v>
      </c>
      <c r="I97" s="1">
        <v>134.19999999999999</v>
      </c>
      <c r="J97" s="1">
        <v>153.6</v>
      </c>
      <c r="K97" s="1">
        <v>137.9</v>
      </c>
      <c r="L97" s="1">
        <v>93.1</v>
      </c>
      <c r="M97" s="1">
        <v>123.9</v>
      </c>
      <c r="N97" s="1">
        <v>121.5</v>
      </c>
      <c r="O97" s="1">
        <v>132.5</v>
      </c>
      <c r="P97" s="1">
        <v>129.80000000000001</v>
      </c>
      <c r="Q97" s="1">
        <v>130.1</v>
      </c>
      <c r="R97" s="1">
        <v>129.5</v>
      </c>
      <c r="S97" s="1">
        <v>126.3</v>
      </c>
      <c r="T97" s="1">
        <v>129</v>
      </c>
      <c r="U97" s="1" t="s">
        <v>75</v>
      </c>
      <c r="V97" s="1">
        <v>123.8</v>
      </c>
      <c r="W97" s="1">
        <v>123.7</v>
      </c>
      <c r="X97" s="1">
        <v>121.1</v>
      </c>
      <c r="Y97" s="1">
        <v>113.6</v>
      </c>
      <c r="Z97" s="1">
        <v>118.5</v>
      </c>
      <c r="AA97" s="1">
        <v>123.6</v>
      </c>
      <c r="AB97" s="1">
        <v>112.5</v>
      </c>
      <c r="AC97" s="1">
        <v>118.2</v>
      </c>
      <c r="AD97" s="1">
        <v>126.1</v>
      </c>
    </row>
    <row r="98" spans="1:30" x14ac:dyDescent="0.3">
      <c r="A98" s="1" t="s">
        <v>32</v>
      </c>
      <c r="B98" s="1">
        <v>2015</v>
      </c>
      <c r="C98" s="1" t="s">
        <v>45</v>
      </c>
      <c r="D98" s="1">
        <v>123.1</v>
      </c>
      <c r="E98" s="1">
        <v>131.69999999999999</v>
      </c>
      <c r="F98" s="1">
        <v>118.1</v>
      </c>
      <c r="G98" s="1">
        <v>128</v>
      </c>
      <c r="H98" s="1">
        <v>106.8</v>
      </c>
      <c r="I98" s="1">
        <v>130.1</v>
      </c>
      <c r="J98" s="1">
        <v>165.5</v>
      </c>
      <c r="K98" s="1">
        <v>156</v>
      </c>
      <c r="L98" s="1">
        <v>85.3</v>
      </c>
      <c r="M98" s="1">
        <v>132.69999999999999</v>
      </c>
      <c r="N98" s="1">
        <v>118.8</v>
      </c>
      <c r="O98" s="1">
        <v>131.69999999999999</v>
      </c>
      <c r="P98" s="1">
        <v>131.1</v>
      </c>
      <c r="Q98" s="1">
        <v>134.19999999999999</v>
      </c>
      <c r="R98" s="1">
        <v>123.7</v>
      </c>
      <c r="S98" s="1">
        <v>118.2</v>
      </c>
      <c r="T98" s="1">
        <v>122.9</v>
      </c>
      <c r="U98" s="1" t="s">
        <v>75</v>
      </c>
      <c r="V98" s="1">
        <v>115.3</v>
      </c>
      <c r="W98" s="1">
        <v>120</v>
      </c>
      <c r="X98" s="1">
        <v>116.6</v>
      </c>
      <c r="Y98" s="1">
        <v>109.9</v>
      </c>
      <c r="Z98" s="1">
        <v>117.2</v>
      </c>
      <c r="AA98" s="1">
        <v>126.2</v>
      </c>
      <c r="AB98" s="1">
        <v>112</v>
      </c>
      <c r="AC98" s="1">
        <v>116.2</v>
      </c>
      <c r="AD98" s="1">
        <v>123.2</v>
      </c>
    </row>
    <row r="99" spans="1:30" x14ac:dyDescent="0.3">
      <c r="A99" s="1" t="s">
        <v>34</v>
      </c>
      <c r="B99" s="1">
        <v>2015</v>
      </c>
      <c r="C99" s="1" t="s">
        <v>45</v>
      </c>
      <c r="D99" s="1">
        <v>124.2</v>
      </c>
      <c r="E99" s="1">
        <v>131.4</v>
      </c>
      <c r="F99" s="1">
        <v>120.1</v>
      </c>
      <c r="G99" s="1">
        <v>128.5</v>
      </c>
      <c r="H99" s="1">
        <v>111.4</v>
      </c>
      <c r="I99" s="1">
        <v>132.30000000000001</v>
      </c>
      <c r="J99" s="1">
        <v>157.6</v>
      </c>
      <c r="K99" s="1">
        <v>144</v>
      </c>
      <c r="L99" s="1">
        <v>90.5</v>
      </c>
      <c r="M99" s="1">
        <v>126.8</v>
      </c>
      <c r="N99" s="1">
        <v>120.4</v>
      </c>
      <c r="O99" s="1">
        <v>132.1</v>
      </c>
      <c r="P99" s="1">
        <v>130.30000000000001</v>
      </c>
      <c r="Q99" s="1">
        <v>131.19999999999999</v>
      </c>
      <c r="R99" s="1">
        <v>127.2</v>
      </c>
      <c r="S99" s="1">
        <v>122.9</v>
      </c>
      <c r="T99" s="1">
        <v>126.6</v>
      </c>
      <c r="U99" s="1" t="s">
        <v>75</v>
      </c>
      <c r="V99" s="1">
        <v>120.6</v>
      </c>
      <c r="W99" s="1">
        <v>122</v>
      </c>
      <c r="X99" s="1">
        <v>119.4</v>
      </c>
      <c r="Y99" s="1">
        <v>111.7</v>
      </c>
      <c r="Z99" s="1">
        <v>117.8</v>
      </c>
      <c r="AA99" s="1">
        <v>125.1</v>
      </c>
      <c r="AB99" s="1">
        <v>112.3</v>
      </c>
      <c r="AC99" s="1">
        <v>117.2</v>
      </c>
      <c r="AD99" s="1">
        <v>124.8</v>
      </c>
    </row>
    <row r="100" spans="1:30" x14ac:dyDescent="0.3">
      <c r="A100" s="1" t="s">
        <v>30</v>
      </c>
      <c r="B100" s="1">
        <v>2015</v>
      </c>
      <c r="C100" s="1" t="s">
        <v>47</v>
      </c>
      <c r="D100" s="1">
        <v>125.1</v>
      </c>
      <c r="E100" s="1">
        <v>131.1</v>
      </c>
      <c r="F100" s="1">
        <v>120.7</v>
      </c>
      <c r="G100" s="1">
        <v>129.19999999999999</v>
      </c>
      <c r="H100" s="1">
        <v>114.7</v>
      </c>
      <c r="I100" s="1">
        <v>132.30000000000001</v>
      </c>
      <c r="J100" s="1">
        <v>158.9</v>
      </c>
      <c r="K100" s="1">
        <v>142.1</v>
      </c>
      <c r="L100" s="1">
        <v>92.5</v>
      </c>
      <c r="M100" s="1">
        <v>125.4</v>
      </c>
      <c r="N100" s="1">
        <v>121.9</v>
      </c>
      <c r="O100" s="1">
        <v>132.69999999999999</v>
      </c>
      <c r="P100" s="1">
        <v>131</v>
      </c>
      <c r="Q100" s="1">
        <v>131</v>
      </c>
      <c r="R100" s="1">
        <v>130.4</v>
      </c>
      <c r="S100" s="1">
        <v>126.8</v>
      </c>
      <c r="T100" s="1">
        <v>129.9</v>
      </c>
      <c r="U100" s="1" t="s">
        <v>76</v>
      </c>
      <c r="V100" s="1">
        <v>123.7</v>
      </c>
      <c r="W100" s="1">
        <v>124.5</v>
      </c>
      <c r="X100" s="1">
        <v>121.4</v>
      </c>
      <c r="Y100" s="1">
        <v>113.8</v>
      </c>
      <c r="Z100" s="1">
        <v>119.6</v>
      </c>
      <c r="AA100" s="1">
        <v>124.5</v>
      </c>
      <c r="AB100" s="1">
        <v>113.7</v>
      </c>
      <c r="AC100" s="1">
        <v>118.8</v>
      </c>
      <c r="AD100" s="1">
        <v>127</v>
      </c>
    </row>
    <row r="101" spans="1:30" x14ac:dyDescent="0.3">
      <c r="A101" s="1" t="s">
        <v>32</v>
      </c>
      <c r="B101" s="1">
        <v>2015</v>
      </c>
      <c r="C101" s="1" t="s">
        <v>47</v>
      </c>
      <c r="D101" s="1">
        <v>123.4</v>
      </c>
      <c r="E101" s="1">
        <v>129</v>
      </c>
      <c r="F101" s="1">
        <v>115.6</v>
      </c>
      <c r="G101" s="1">
        <v>128.30000000000001</v>
      </c>
      <c r="H101" s="1">
        <v>107</v>
      </c>
      <c r="I101" s="1">
        <v>124</v>
      </c>
      <c r="J101" s="1">
        <v>168.5</v>
      </c>
      <c r="K101" s="1">
        <v>165.4</v>
      </c>
      <c r="L101" s="1">
        <v>86.3</v>
      </c>
      <c r="M101" s="1">
        <v>134.4</v>
      </c>
      <c r="N101" s="1">
        <v>119.1</v>
      </c>
      <c r="O101" s="1">
        <v>132.30000000000001</v>
      </c>
      <c r="P101" s="1">
        <v>131.5</v>
      </c>
      <c r="Q101" s="1">
        <v>134.69999999999999</v>
      </c>
      <c r="R101" s="1">
        <v>124</v>
      </c>
      <c r="S101" s="1">
        <v>118.6</v>
      </c>
      <c r="T101" s="1">
        <v>123.2</v>
      </c>
      <c r="U101" s="1" t="s">
        <v>76</v>
      </c>
      <c r="V101" s="1">
        <v>115.1</v>
      </c>
      <c r="W101" s="1">
        <v>120.4</v>
      </c>
      <c r="X101" s="1">
        <v>117.1</v>
      </c>
      <c r="Y101" s="1">
        <v>109.1</v>
      </c>
      <c r="Z101" s="1">
        <v>117.3</v>
      </c>
      <c r="AA101" s="1">
        <v>126.5</v>
      </c>
      <c r="AB101" s="1">
        <v>112.9</v>
      </c>
      <c r="AC101" s="1">
        <v>116.2</v>
      </c>
      <c r="AD101" s="1">
        <v>123.5</v>
      </c>
    </row>
    <row r="102" spans="1:30" x14ac:dyDescent="0.3">
      <c r="A102" s="1" t="s">
        <v>34</v>
      </c>
      <c r="B102" s="1">
        <v>2015</v>
      </c>
      <c r="C102" s="1" t="s">
        <v>47</v>
      </c>
      <c r="D102" s="1">
        <v>124.6</v>
      </c>
      <c r="E102" s="1">
        <v>130.4</v>
      </c>
      <c r="F102" s="1">
        <v>118.7</v>
      </c>
      <c r="G102" s="1">
        <v>128.9</v>
      </c>
      <c r="H102" s="1">
        <v>111.9</v>
      </c>
      <c r="I102" s="1">
        <v>128.4</v>
      </c>
      <c r="J102" s="1">
        <v>162.19999999999999</v>
      </c>
      <c r="K102" s="1">
        <v>150</v>
      </c>
      <c r="L102" s="1">
        <v>90.4</v>
      </c>
      <c r="M102" s="1">
        <v>128.4</v>
      </c>
      <c r="N102" s="1">
        <v>120.7</v>
      </c>
      <c r="O102" s="1">
        <v>132.5</v>
      </c>
      <c r="P102" s="1">
        <v>131.19999999999999</v>
      </c>
      <c r="Q102" s="1">
        <v>132</v>
      </c>
      <c r="R102" s="1">
        <v>127.9</v>
      </c>
      <c r="S102" s="1">
        <v>123.4</v>
      </c>
      <c r="T102" s="1">
        <v>127.2</v>
      </c>
      <c r="U102" s="1" t="s">
        <v>76</v>
      </c>
      <c r="V102" s="1">
        <v>120.4</v>
      </c>
      <c r="W102" s="1">
        <v>122.6</v>
      </c>
      <c r="X102" s="1">
        <v>119.8</v>
      </c>
      <c r="Y102" s="1">
        <v>111.3</v>
      </c>
      <c r="Z102" s="1">
        <v>118.3</v>
      </c>
      <c r="AA102" s="1">
        <v>125.7</v>
      </c>
      <c r="AB102" s="1">
        <v>113.4</v>
      </c>
      <c r="AC102" s="1">
        <v>117.5</v>
      </c>
      <c r="AD102" s="1">
        <v>125.4</v>
      </c>
    </row>
    <row r="103" spans="1:30" x14ac:dyDescent="0.3">
      <c r="A103" s="1" t="s">
        <v>30</v>
      </c>
      <c r="B103" s="1">
        <v>2015</v>
      </c>
      <c r="C103" s="1" t="s">
        <v>49</v>
      </c>
      <c r="D103" s="1">
        <v>125.6</v>
      </c>
      <c r="E103" s="1">
        <v>130.4</v>
      </c>
      <c r="F103" s="1">
        <v>120.8</v>
      </c>
      <c r="G103" s="1">
        <v>129.4</v>
      </c>
      <c r="H103" s="1">
        <v>115.8</v>
      </c>
      <c r="I103" s="1">
        <v>133.19999999999999</v>
      </c>
      <c r="J103" s="1">
        <v>157.69999999999999</v>
      </c>
      <c r="K103" s="1">
        <v>154.19999999999999</v>
      </c>
      <c r="L103" s="1">
        <v>93.7</v>
      </c>
      <c r="M103" s="1">
        <v>126.6</v>
      </c>
      <c r="N103" s="1">
        <v>122.3</v>
      </c>
      <c r="O103" s="1">
        <v>133.1</v>
      </c>
      <c r="P103" s="1">
        <v>131.80000000000001</v>
      </c>
      <c r="Q103" s="1">
        <v>131.5</v>
      </c>
      <c r="R103" s="1">
        <v>131.1</v>
      </c>
      <c r="S103" s="1">
        <v>127.3</v>
      </c>
      <c r="T103" s="1">
        <v>130.6</v>
      </c>
      <c r="U103" s="1" t="s">
        <v>77</v>
      </c>
      <c r="V103" s="1">
        <v>124.4</v>
      </c>
      <c r="W103" s="1">
        <v>125.1</v>
      </c>
      <c r="X103" s="1">
        <v>122</v>
      </c>
      <c r="Y103" s="1">
        <v>113.8</v>
      </c>
      <c r="Z103" s="1">
        <v>120.1</v>
      </c>
      <c r="AA103" s="1">
        <v>125.1</v>
      </c>
      <c r="AB103" s="1">
        <v>114.2</v>
      </c>
      <c r="AC103" s="1">
        <v>119.2</v>
      </c>
      <c r="AD103" s="1">
        <v>127.7</v>
      </c>
    </row>
    <row r="104" spans="1:30" x14ac:dyDescent="0.3">
      <c r="A104" s="1" t="s">
        <v>32</v>
      </c>
      <c r="B104" s="1">
        <v>2015</v>
      </c>
      <c r="C104" s="1" t="s">
        <v>49</v>
      </c>
      <c r="D104" s="1">
        <v>123.6</v>
      </c>
      <c r="E104" s="1">
        <v>128.6</v>
      </c>
      <c r="F104" s="1">
        <v>115.9</v>
      </c>
      <c r="G104" s="1">
        <v>128.5</v>
      </c>
      <c r="H104" s="1">
        <v>109</v>
      </c>
      <c r="I104" s="1">
        <v>124.1</v>
      </c>
      <c r="J104" s="1">
        <v>165.8</v>
      </c>
      <c r="K104" s="1">
        <v>187.2</v>
      </c>
      <c r="L104" s="1">
        <v>89.4</v>
      </c>
      <c r="M104" s="1">
        <v>135.80000000000001</v>
      </c>
      <c r="N104" s="1">
        <v>119.4</v>
      </c>
      <c r="O104" s="1">
        <v>132.9</v>
      </c>
      <c r="P104" s="1">
        <v>132.6</v>
      </c>
      <c r="Q104" s="1">
        <v>135.30000000000001</v>
      </c>
      <c r="R104" s="1">
        <v>124.4</v>
      </c>
      <c r="S104" s="1">
        <v>118.8</v>
      </c>
      <c r="T104" s="1">
        <v>123.6</v>
      </c>
      <c r="U104" s="1" t="s">
        <v>77</v>
      </c>
      <c r="V104" s="1">
        <v>114.9</v>
      </c>
      <c r="W104" s="1">
        <v>120.7</v>
      </c>
      <c r="X104" s="1">
        <v>117.7</v>
      </c>
      <c r="Y104" s="1">
        <v>109.3</v>
      </c>
      <c r="Z104" s="1">
        <v>117.7</v>
      </c>
      <c r="AA104" s="1">
        <v>126.5</v>
      </c>
      <c r="AB104" s="1">
        <v>113.5</v>
      </c>
      <c r="AC104" s="1">
        <v>116.5</v>
      </c>
      <c r="AD104" s="1">
        <v>124.2</v>
      </c>
    </row>
    <row r="105" spans="1:30" x14ac:dyDescent="0.3">
      <c r="A105" s="1" t="s">
        <v>34</v>
      </c>
      <c r="B105" s="1">
        <v>2015</v>
      </c>
      <c r="C105" s="1" t="s">
        <v>49</v>
      </c>
      <c r="D105" s="1">
        <v>125</v>
      </c>
      <c r="E105" s="1">
        <v>129.80000000000001</v>
      </c>
      <c r="F105" s="1">
        <v>118.9</v>
      </c>
      <c r="G105" s="1">
        <v>129.1</v>
      </c>
      <c r="H105" s="1">
        <v>113.3</v>
      </c>
      <c r="I105" s="1">
        <v>129</v>
      </c>
      <c r="J105" s="1">
        <v>160.4</v>
      </c>
      <c r="K105" s="1">
        <v>165.3</v>
      </c>
      <c r="L105" s="1">
        <v>92.3</v>
      </c>
      <c r="M105" s="1">
        <v>129.69999999999999</v>
      </c>
      <c r="N105" s="1">
        <v>121.1</v>
      </c>
      <c r="O105" s="1">
        <v>133</v>
      </c>
      <c r="P105" s="1">
        <v>132.1</v>
      </c>
      <c r="Q105" s="1">
        <v>132.5</v>
      </c>
      <c r="R105" s="1">
        <v>128.5</v>
      </c>
      <c r="S105" s="1">
        <v>123.8</v>
      </c>
      <c r="T105" s="1">
        <v>127.8</v>
      </c>
      <c r="U105" s="1" t="s">
        <v>77</v>
      </c>
      <c r="V105" s="1">
        <v>120.8</v>
      </c>
      <c r="W105" s="1">
        <v>123</v>
      </c>
      <c r="X105" s="1">
        <v>120.4</v>
      </c>
      <c r="Y105" s="1">
        <v>111.4</v>
      </c>
      <c r="Z105" s="1">
        <v>118.7</v>
      </c>
      <c r="AA105" s="1">
        <v>125.9</v>
      </c>
      <c r="AB105" s="1">
        <v>113.9</v>
      </c>
      <c r="AC105" s="1">
        <v>117.9</v>
      </c>
      <c r="AD105" s="1">
        <v>126.1</v>
      </c>
    </row>
    <row r="106" spans="1:30" x14ac:dyDescent="0.3">
      <c r="A106" s="1" t="s">
        <v>30</v>
      </c>
      <c r="B106" s="1">
        <v>2015</v>
      </c>
      <c r="C106" s="1" t="s">
        <v>52</v>
      </c>
      <c r="D106" s="1">
        <v>126.1</v>
      </c>
      <c r="E106" s="1">
        <v>130.6</v>
      </c>
      <c r="F106" s="1">
        <v>121.7</v>
      </c>
      <c r="G106" s="1">
        <v>129.5</v>
      </c>
      <c r="H106" s="1">
        <v>117.8</v>
      </c>
      <c r="I106" s="1">
        <v>132.1</v>
      </c>
      <c r="J106" s="1">
        <v>155.19999999999999</v>
      </c>
      <c r="K106" s="1">
        <v>160.80000000000001</v>
      </c>
      <c r="L106" s="1">
        <v>94.5</v>
      </c>
      <c r="M106" s="1">
        <v>128.30000000000001</v>
      </c>
      <c r="N106" s="1">
        <v>123.1</v>
      </c>
      <c r="O106" s="1">
        <v>134.19999999999999</v>
      </c>
      <c r="P106" s="1">
        <v>132.4</v>
      </c>
      <c r="Q106" s="1">
        <v>132.19999999999999</v>
      </c>
      <c r="R106" s="1">
        <v>132.1</v>
      </c>
      <c r="S106" s="1">
        <v>128.19999999999999</v>
      </c>
      <c r="T106" s="1">
        <v>131.5</v>
      </c>
      <c r="U106" s="1" t="s">
        <v>78</v>
      </c>
      <c r="V106" s="1">
        <v>125.6</v>
      </c>
      <c r="W106" s="1">
        <v>125.6</v>
      </c>
      <c r="X106" s="1">
        <v>122.6</v>
      </c>
      <c r="Y106" s="1">
        <v>114</v>
      </c>
      <c r="Z106" s="1">
        <v>120.9</v>
      </c>
      <c r="AA106" s="1">
        <v>125.8</v>
      </c>
      <c r="AB106" s="1">
        <v>114.2</v>
      </c>
      <c r="AC106" s="1">
        <v>119.6</v>
      </c>
      <c r="AD106" s="1">
        <v>128.30000000000001</v>
      </c>
    </row>
    <row r="107" spans="1:30" x14ac:dyDescent="0.3">
      <c r="A107" s="1" t="s">
        <v>32</v>
      </c>
      <c r="B107" s="1">
        <v>2015</v>
      </c>
      <c r="C107" s="1" t="s">
        <v>52</v>
      </c>
      <c r="D107" s="1">
        <v>124</v>
      </c>
      <c r="E107" s="1">
        <v>129.80000000000001</v>
      </c>
      <c r="F107" s="1">
        <v>121.5</v>
      </c>
      <c r="G107" s="1">
        <v>128.6</v>
      </c>
      <c r="H107" s="1">
        <v>110</v>
      </c>
      <c r="I107" s="1">
        <v>123.7</v>
      </c>
      <c r="J107" s="1">
        <v>164.6</v>
      </c>
      <c r="K107" s="1">
        <v>191.6</v>
      </c>
      <c r="L107" s="1">
        <v>90.8</v>
      </c>
      <c r="M107" s="1">
        <v>137.1</v>
      </c>
      <c r="N107" s="1">
        <v>119.8</v>
      </c>
      <c r="O107" s="1">
        <v>133.69999999999999</v>
      </c>
      <c r="P107" s="1">
        <v>133.30000000000001</v>
      </c>
      <c r="Q107" s="1">
        <v>137.6</v>
      </c>
      <c r="R107" s="1">
        <v>125</v>
      </c>
      <c r="S107" s="1">
        <v>119.3</v>
      </c>
      <c r="T107" s="1">
        <v>124.2</v>
      </c>
      <c r="U107" s="1" t="s">
        <v>78</v>
      </c>
      <c r="V107" s="1">
        <v>115.1</v>
      </c>
      <c r="W107" s="1">
        <v>121</v>
      </c>
      <c r="X107" s="1">
        <v>118.1</v>
      </c>
      <c r="Y107" s="1">
        <v>109.3</v>
      </c>
      <c r="Z107" s="1">
        <v>117.9</v>
      </c>
      <c r="AA107" s="1">
        <v>126.6</v>
      </c>
      <c r="AB107" s="1">
        <v>113.3</v>
      </c>
      <c r="AC107" s="1">
        <v>116.6</v>
      </c>
      <c r="AD107" s="1">
        <v>124.6</v>
      </c>
    </row>
    <row r="108" spans="1:30" x14ac:dyDescent="0.3">
      <c r="A108" s="1" t="s">
        <v>34</v>
      </c>
      <c r="B108" s="1">
        <v>2015</v>
      </c>
      <c r="C108" s="1" t="s">
        <v>52</v>
      </c>
      <c r="D108" s="1">
        <v>125.4</v>
      </c>
      <c r="E108" s="1">
        <v>130.30000000000001</v>
      </c>
      <c r="F108" s="1">
        <v>121.6</v>
      </c>
      <c r="G108" s="1">
        <v>129.19999999999999</v>
      </c>
      <c r="H108" s="1">
        <v>114.9</v>
      </c>
      <c r="I108" s="1">
        <v>128.19999999999999</v>
      </c>
      <c r="J108" s="1">
        <v>158.4</v>
      </c>
      <c r="K108" s="1">
        <v>171.2</v>
      </c>
      <c r="L108" s="1">
        <v>93.3</v>
      </c>
      <c r="M108" s="1">
        <v>131.19999999999999</v>
      </c>
      <c r="N108" s="1">
        <v>121.7</v>
      </c>
      <c r="O108" s="1">
        <v>134</v>
      </c>
      <c r="P108" s="1">
        <v>132.69999999999999</v>
      </c>
      <c r="Q108" s="1">
        <v>133.6</v>
      </c>
      <c r="R108" s="1">
        <v>129.30000000000001</v>
      </c>
      <c r="S108" s="1">
        <v>124.5</v>
      </c>
      <c r="T108" s="1">
        <v>128.6</v>
      </c>
      <c r="U108" s="1" t="s">
        <v>78</v>
      </c>
      <c r="V108" s="1">
        <v>121.6</v>
      </c>
      <c r="W108" s="1">
        <v>123.4</v>
      </c>
      <c r="X108" s="1">
        <v>120.9</v>
      </c>
      <c r="Y108" s="1">
        <v>111.5</v>
      </c>
      <c r="Z108" s="1">
        <v>119.2</v>
      </c>
      <c r="AA108" s="1">
        <v>126.3</v>
      </c>
      <c r="AB108" s="1">
        <v>113.8</v>
      </c>
      <c r="AC108" s="1">
        <v>118.1</v>
      </c>
      <c r="AD108" s="1">
        <v>126.6</v>
      </c>
    </row>
    <row r="109" spans="1:30" x14ac:dyDescent="0.3">
      <c r="A109" s="1" t="s">
        <v>30</v>
      </c>
      <c r="B109" s="1">
        <v>2015</v>
      </c>
      <c r="C109" s="1" t="s">
        <v>54</v>
      </c>
      <c r="D109" s="1">
        <v>126.3</v>
      </c>
      <c r="E109" s="1">
        <v>131.30000000000001</v>
      </c>
      <c r="F109" s="1">
        <v>123.3</v>
      </c>
      <c r="G109" s="1">
        <v>129.80000000000001</v>
      </c>
      <c r="H109" s="1">
        <v>118.3</v>
      </c>
      <c r="I109" s="1">
        <v>131.6</v>
      </c>
      <c r="J109" s="1">
        <v>145.5</v>
      </c>
      <c r="K109" s="1">
        <v>162.1</v>
      </c>
      <c r="L109" s="1">
        <v>95.4</v>
      </c>
      <c r="M109" s="1">
        <v>128.9</v>
      </c>
      <c r="N109" s="1">
        <v>123.3</v>
      </c>
      <c r="O109" s="1">
        <v>135.1</v>
      </c>
      <c r="P109" s="1">
        <v>131.4</v>
      </c>
      <c r="Q109" s="1">
        <v>133.1</v>
      </c>
      <c r="R109" s="1">
        <v>132.5</v>
      </c>
      <c r="S109" s="1">
        <v>128.5</v>
      </c>
      <c r="T109" s="1">
        <v>131.9</v>
      </c>
      <c r="U109" s="1" t="s">
        <v>77</v>
      </c>
      <c r="V109" s="1">
        <v>125.7</v>
      </c>
      <c r="W109" s="1">
        <v>126</v>
      </c>
      <c r="X109" s="1">
        <v>123.1</v>
      </c>
      <c r="Y109" s="1">
        <v>114</v>
      </c>
      <c r="Z109" s="1">
        <v>121.6</v>
      </c>
      <c r="AA109" s="1">
        <v>125.6</v>
      </c>
      <c r="AB109" s="1">
        <v>114.1</v>
      </c>
      <c r="AC109" s="1">
        <v>119.8</v>
      </c>
      <c r="AD109" s="1">
        <v>127.9</v>
      </c>
    </row>
    <row r="110" spans="1:30" x14ac:dyDescent="0.3">
      <c r="A110" s="1" t="s">
        <v>32</v>
      </c>
      <c r="B110" s="1">
        <v>2015</v>
      </c>
      <c r="C110" s="1" t="s">
        <v>54</v>
      </c>
      <c r="D110" s="1">
        <v>124.3</v>
      </c>
      <c r="E110" s="1">
        <v>131.69999999999999</v>
      </c>
      <c r="F110" s="1">
        <v>127.1</v>
      </c>
      <c r="G110" s="1">
        <v>128.6</v>
      </c>
      <c r="H110" s="1">
        <v>110</v>
      </c>
      <c r="I110" s="1">
        <v>120.8</v>
      </c>
      <c r="J110" s="1">
        <v>149</v>
      </c>
      <c r="K110" s="1">
        <v>190.1</v>
      </c>
      <c r="L110" s="1">
        <v>92.7</v>
      </c>
      <c r="M110" s="1">
        <v>138.6</v>
      </c>
      <c r="N110" s="1">
        <v>120.2</v>
      </c>
      <c r="O110" s="1">
        <v>134.19999999999999</v>
      </c>
      <c r="P110" s="1">
        <v>131.5</v>
      </c>
      <c r="Q110" s="1">
        <v>138.19999999999999</v>
      </c>
      <c r="R110" s="1">
        <v>125.4</v>
      </c>
      <c r="S110" s="1">
        <v>119.5</v>
      </c>
      <c r="T110" s="1">
        <v>124.5</v>
      </c>
      <c r="U110" s="1" t="s">
        <v>77</v>
      </c>
      <c r="V110" s="1">
        <v>116</v>
      </c>
      <c r="W110" s="1">
        <v>121</v>
      </c>
      <c r="X110" s="1">
        <v>118.6</v>
      </c>
      <c r="Y110" s="1">
        <v>109.3</v>
      </c>
      <c r="Z110" s="1">
        <v>118.1</v>
      </c>
      <c r="AA110" s="1">
        <v>126.6</v>
      </c>
      <c r="AB110" s="1">
        <v>113.2</v>
      </c>
      <c r="AC110" s="1">
        <v>116.7</v>
      </c>
      <c r="AD110" s="1">
        <v>124</v>
      </c>
    </row>
    <row r="111" spans="1:30" x14ac:dyDescent="0.3">
      <c r="A111" s="1" t="s">
        <v>34</v>
      </c>
      <c r="B111" s="1">
        <v>2015</v>
      </c>
      <c r="C111" s="1" t="s">
        <v>54</v>
      </c>
      <c r="D111" s="1">
        <v>125.7</v>
      </c>
      <c r="E111" s="1">
        <v>131.4</v>
      </c>
      <c r="F111" s="1">
        <v>124.8</v>
      </c>
      <c r="G111" s="1">
        <v>129.4</v>
      </c>
      <c r="H111" s="1">
        <v>115.3</v>
      </c>
      <c r="I111" s="1">
        <v>126.6</v>
      </c>
      <c r="J111" s="1">
        <v>146.69999999999999</v>
      </c>
      <c r="K111" s="1">
        <v>171.5</v>
      </c>
      <c r="L111" s="1">
        <v>94.5</v>
      </c>
      <c r="M111" s="1">
        <v>132.1</v>
      </c>
      <c r="N111" s="1">
        <v>122</v>
      </c>
      <c r="O111" s="1">
        <v>134.69999999999999</v>
      </c>
      <c r="P111" s="1">
        <v>131.4</v>
      </c>
      <c r="Q111" s="1">
        <v>134.5</v>
      </c>
      <c r="R111" s="1">
        <v>129.69999999999999</v>
      </c>
      <c r="S111" s="1">
        <v>124.8</v>
      </c>
      <c r="T111" s="1">
        <v>129</v>
      </c>
      <c r="U111" s="1" t="s">
        <v>77</v>
      </c>
      <c r="V111" s="1">
        <v>122</v>
      </c>
      <c r="W111" s="1">
        <v>123.6</v>
      </c>
      <c r="X111" s="1">
        <v>121.4</v>
      </c>
      <c r="Y111" s="1">
        <v>111.5</v>
      </c>
      <c r="Z111" s="1">
        <v>119.6</v>
      </c>
      <c r="AA111" s="1">
        <v>126.2</v>
      </c>
      <c r="AB111" s="1">
        <v>113.7</v>
      </c>
      <c r="AC111" s="1">
        <v>118.3</v>
      </c>
      <c r="AD111" s="1">
        <v>126.1</v>
      </c>
    </row>
    <row r="112" spans="1:30" x14ac:dyDescent="0.3">
      <c r="A112" s="1" t="s">
        <v>30</v>
      </c>
      <c r="B112" s="1">
        <v>2016</v>
      </c>
      <c r="C112" s="1" t="s">
        <v>31</v>
      </c>
      <c r="D112" s="1">
        <v>126.8</v>
      </c>
      <c r="E112" s="1">
        <v>133.19999999999999</v>
      </c>
      <c r="F112" s="1">
        <v>126.5</v>
      </c>
      <c r="G112" s="1">
        <v>130.30000000000001</v>
      </c>
      <c r="H112" s="1">
        <v>118.9</v>
      </c>
      <c r="I112" s="1">
        <v>131.6</v>
      </c>
      <c r="J112" s="1">
        <v>140.1</v>
      </c>
      <c r="K112" s="1">
        <v>163.80000000000001</v>
      </c>
      <c r="L112" s="1">
        <v>97.7</v>
      </c>
      <c r="M112" s="1">
        <v>129.6</v>
      </c>
      <c r="N112" s="1">
        <v>124.3</v>
      </c>
      <c r="O112" s="1">
        <v>135.9</v>
      </c>
      <c r="P112" s="1">
        <v>131.4</v>
      </c>
      <c r="Q112" s="1">
        <v>133.6</v>
      </c>
      <c r="R112" s="1">
        <v>133.19999999999999</v>
      </c>
      <c r="S112" s="1">
        <v>128.9</v>
      </c>
      <c r="T112" s="1">
        <v>132.6</v>
      </c>
      <c r="U112" s="1" t="s">
        <v>79</v>
      </c>
      <c r="V112" s="1">
        <v>126.2</v>
      </c>
      <c r="W112" s="1">
        <v>126.6</v>
      </c>
      <c r="X112" s="1">
        <v>123.7</v>
      </c>
      <c r="Y112" s="1">
        <v>113.6</v>
      </c>
      <c r="Z112" s="1">
        <v>121.4</v>
      </c>
      <c r="AA112" s="1">
        <v>126.2</v>
      </c>
      <c r="AB112" s="1">
        <v>114.9</v>
      </c>
      <c r="AC112" s="1">
        <v>120.1</v>
      </c>
      <c r="AD112" s="1">
        <v>128.1</v>
      </c>
    </row>
    <row r="113" spans="1:30" x14ac:dyDescent="0.3">
      <c r="A113" s="1" t="s">
        <v>32</v>
      </c>
      <c r="B113" s="1">
        <v>2016</v>
      </c>
      <c r="C113" s="1" t="s">
        <v>31</v>
      </c>
      <c r="D113" s="1">
        <v>124.7</v>
      </c>
      <c r="E113" s="1">
        <v>135.9</v>
      </c>
      <c r="F113" s="1">
        <v>132</v>
      </c>
      <c r="G113" s="1">
        <v>129.19999999999999</v>
      </c>
      <c r="H113" s="1">
        <v>109.7</v>
      </c>
      <c r="I113" s="1">
        <v>119</v>
      </c>
      <c r="J113" s="1">
        <v>144.1</v>
      </c>
      <c r="K113" s="1">
        <v>184.2</v>
      </c>
      <c r="L113" s="1">
        <v>96.7</v>
      </c>
      <c r="M113" s="1">
        <v>139.5</v>
      </c>
      <c r="N113" s="1">
        <v>120.5</v>
      </c>
      <c r="O113" s="1">
        <v>134.69999999999999</v>
      </c>
      <c r="P113" s="1">
        <v>131.19999999999999</v>
      </c>
      <c r="Q113" s="1">
        <v>139.5</v>
      </c>
      <c r="R113" s="1">
        <v>125.8</v>
      </c>
      <c r="S113" s="1">
        <v>119.8</v>
      </c>
      <c r="T113" s="1">
        <v>124.9</v>
      </c>
      <c r="U113" s="1" t="s">
        <v>79</v>
      </c>
      <c r="V113" s="1">
        <v>116.9</v>
      </c>
      <c r="W113" s="1">
        <v>121.6</v>
      </c>
      <c r="X113" s="1">
        <v>119.1</v>
      </c>
      <c r="Y113" s="1">
        <v>108.9</v>
      </c>
      <c r="Z113" s="1">
        <v>118.5</v>
      </c>
      <c r="AA113" s="1">
        <v>126.4</v>
      </c>
      <c r="AB113" s="1">
        <v>114</v>
      </c>
      <c r="AC113" s="1">
        <v>116.8</v>
      </c>
      <c r="AD113" s="1">
        <v>124.2</v>
      </c>
    </row>
    <row r="114" spans="1:30" x14ac:dyDescent="0.3">
      <c r="A114" s="1" t="s">
        <v>34</v>
      </c>
      <c r="B114" s="1">
        <v>2016</v>
      </c>
      <c r="C114" s="1" t="s">
        <v>31</v>
      </c>
      <c r="D114" s="1">
        <v>126.1</v>
      </c>
      <c r="E114" s="1">
        <v>134.1</v>
      </c>
      <c r="F114" s="1">
        <v>128.6</v>
      </c>
      <c r="G114" s="1">
        <v>129.9</v>
      </c>
      <c r="H114" s="1">
        <v>115.5</v>
      </c>
      <c r="I114" s="1">
        <v>125.7</v>
      </c>
      <c r="J114" s="1">
        <v>141.5</v>
      </c>
      <c r="K114" s="1">
        <v>170.7</v>
      </c>
      <c r="L114" s="1">
        <v>97.4</v>
      </c>
      <c r="M114" s="1">
        <v>132.9</v>
      </c>
      <c r="N114" s="1">
        <v>122.7</v>
      </c>
      <c r="O114" s="1">
        <v>135.30000000000001</v>
      </c>
      <c r="P114" s="1">
        <v>131.30000000000001</v>
      </c>
      <c r="Q114" s="1">
        <v>135.19999999999999</v>
      </c>
      <c r="R114" s="1">
        <v>130.30000000000001</v>
      </c>
      <c r="S114" s="1">
        <v>125.1</v>
      </c>
      <c r="T114" s="1">
        <v>129.5</v>
      </c>
      <c r="U114" s="1" t="s">
        <v>79</v>
      </c>
      <c r="V114" s="1">
        <v>122.7</v>
      </c>
      <c r="W114" s="1">
        <v>124.2</v>
      </c>
      <c r="X114" s="1">
        <v>122</v>
      </c>
      <c r="Y114" s="1">
        <v>111.1</v>
      </c>
      <c r="Z114" s="1">
        <v>119.8</v>
      </c>
      <c r="AA114" s="1">
        <v>126.3</v>
      </c>
      <c r="AB114" s="1">
        <v>114.5</v>
      </c>
      <c r="AC114" s="1">
        <v>118.5</v>
      </c>
      <c r="AD114" s="1">
        <v>126.3</v>
      </c>
    </row>
    <row r="115" spans="1:30" x14ac:dyDescent="0.3">
      <c r="A115" s="1" t="s">
        <v>30</v>
      </c>
      <c r="B115" s="1">
        <v>2016</v>
      </c>
      <c r="C115" s="1" t="s">
        <v>35</v>
      </c>
      <c r="D115" s="1">
        <v>127.1</v>
      </c>
      <c r="E115" s="1">
        <v>133.69999999999999</v>
      </c>
      <c r="F115" s="1">
        <v>127.7</v>
      </c>
      <c r="G115" s="1">
        <v>130.69999999999999</v>
      </c>
      <c r="H115" s="1">
        <v>118.5</v>
      </c>
      <c r="I115" s="1">
        <v>130.4</v>
      </c>
      <c r="J115" s="1">
        <v>130.9</v>
      </c>
      <c r="K115" s="1">
        <v>162.80000000000001</v>
      </c>
      <c r="L115" s="1">
        <v>98.7</v>
      </c>
      <c r="M115" s="1">
        <v>130.6</v>
      </c>
      <c r="N115" s="1">
        <v>124.8</v>
      </c>
      <c r="O115" s="1">
        <v>136.4</v>
      </c>
      <c r="P115" s="1">
        <v>130.30000000000001</v>
      </c>
      <c r="Q115" s="1">
        <v>134.4</v>
      </c>
      <c r="R115" s="1">
        <v>133.9</v>
      </c>
      <c r="S115" s="1">
        <v>129.80000000000001</v>
      </c>
      <c r="T115" s="1">
        <v>133.4</v>
      </c>
      <c r="U115" s="1" t="s">
        <v>80</v>
      </c>
      <c r="V115" s="1">
        <v>127.5</v>
      </c>
      <c r="W115" s="1">
        <v>127.1</v>
      </c>
      <c r="X115" s="1">
        <v>124.3</v>
      </c>
      <c r="Y115" s="1">
        <v>113.9</v>
      </c>
      <c r="Z115" s="1">
        <v>122.3</v>
      </c>
      <c r="AA115" s="1">
        <v>127.1</v>
      </c>
      <c r="AB115" s="1">
        <v>116.8</v>
      </c>
      <c r="AC115" s="1">
        <v>120.9</v>
      </c>
      <c r="AD115" s="1">
        <v>127.9</v>
      </c>
    </row>
    <row r="116" spans="1:30" x14ac:dyDescent="0.3">
      <c r="A116" s="1" t="s">
        <v>32</v>
      </c>
      <c r="B116" s="1">
        <v>2016</v>
      </c>
      <c r="C116" s="1" t="s">
        <v>35</v>
      </c>
      <c r="D116" s="1">
        <v>124.8</v>
      </c>
      <c r="E116" s="1">
        <v>135.1</v>
      </c>
      <c r="F116" s="1">
        <v>130.30000000000001</v>
      </c>
      <c r="G116" s="1">
        <v>129.6</v>
      </c>
      <c r="H116" s="1">
        <v>108.4</v>
      </c>
      <c r="I116" s="1">
        <v>118.6</v>
      </c>
      <c r="J116" s="1">
        <v>129.19999999999999</v>
      </c>
      <c r="K116" s="1">
        <v>176.4</v>
      </c>
      <c r="L116" s="1">
        <v>99.1</v>
      </c>
      <c r="M116" s="1">
        <v>139.69999999999999</v>
      </c>
      <c r="N116" s="1">
        <v>120.6</v>
      </c>
      <c r="O116" s="1">
        <v>135.19999999999999</v>
      </c>
      <c r="P116" s="1">
        <v>129.1</v>
      </c>
      <c r="Q116" s="1">
        <v>140</v>
      </c>
      <c r="R116" s="1">
        <v>126.2</v>
      </c>
      <c r="S116" s="1">
        <v>120.1</v>
      </c>
      <c r="T116" s="1">
        <v>125.3</v>
      </c>
      <c r="U116" s="1" t="s">
        <v>80</v>
      </c>
      <c r="V116" s="1">
        <v>116</v>
      </c>
      <c r="W116" s="1">
        <v>121.8</v>
      </c>
      <c r="X116" s="1">
        <v>119.5</v>
      </c>
      <c r="Y116" s="1">
        <v>109.1</v>
      </c>
      <c r="Z116" s="1">
        <v>118.8</v>
      </c>
      <c r="AA116" s="1">
        <v>126.3</v>
      </c>
      <c r="AB116" s="1">
        <v>116.2</v>
      </c>
      <c r="AC116" s="1">
        <v>117.2</v>
      </c>
      <c r="AD116" s="1">
        <v>123.8</v>
      </c>
    </row>
    <row r="117" spans="1:30" x14ac:dyDescent="0.3">
      <c r="A117" s="1" t="s">
        <v>34</v>
      </c>
      <c r="B117" s="1">
        <v>2016</v>
      </c>
      <c r="C117" s="1" t="s">
        <v>35</v>
      </c>
      <c r="D117" s="1">
        <v>126.4</v>
      </c>
      <c r="E117" s="1">
        <v>134.19999999999999</v>
      </c>
      <c r="F117" s="1">
        <v>128.69999999999999</v>
      </c>
      <c r="G117" s="1">
        <v>130.30000000000001</v>
      </c>
      <c r="H117" s="1">
        <v>114.8</v>
      </c>
      <c r="I117" s="1">
        <v>124.9</v>
      </c>
      <c r="J117" s="1">
        <v>130.30000000000001</v>
      </c>
      <c r="K117" s="1">
        <v>167.4</v>
      </c>
      <c r="L117" s="1">
        <v>98.8</v>
      </c>
      <c r="M117" s="1">
        <v>133.6</v>
      </c>
      <c r="N117" s="1">
        <v>123</v>
      </c>
      <c r="O117" s="1">
        <v>135.80000000000001</v>
      </c>
      <c r="P117" s="1">
        <v>129.9</v>
      </c>
      <c r="Q117" s="1">
        <v>135.9</v>
      </c>
      <c r="R117" s="1">
        <v>130.9</v>
      </c>
      <c r="S117" s="1">
        <v>125.8</v>
      </c>
      <c r="T117" s="1">
        <v>130.19999999999999</v>
      </c>
      <c r="U117" s="1" t="s">
        <v>80</v>
      </c>
      <c r="V117" s="1">
        <v>123.1</v>
      </c>
      <c r="W117" s="1">
        <v>124.6</v>
      </c>
      <c r="X117" s="1">
        <v>122.5</v>
      </c>
      <c r="Y117" s="1">
        <v>111.4</v>
      </c>
      <c r="Z117" s="1">
        <v>120.3</v>
      </c>
      <c r="AA117" s="1">
        <v>126.6</v>
      </c>
      <c r="AB117" s="1">
        <v>116.6</v>
      </c>
      <c r="AC117" s="1">
        <v>119.1</v>
      </c>
      <c r="AD117" s="1">
        <v>126</v>
      </c>
    </row>
    <row r="118" spans="1:30" x14ac:dyDescent="0.3">
      <c r="A118" s="1" t="s">
        <v>30</v>
      </c>
      <c r="B118" s="1">
        <v>2016</v>
      </c>
      <c r="C118" s="1" t="s">
        <v>37</v>
      </c>
      <c r="D118" s="1">
        <v>127.3</v>
      </c>
      <c r="E118" s="1">
        <v>134.4</v>
      </c>
      <c r="F118" s="1">
        <v>125.1</v>
      </c>
      <c r="G118" s="1">
        <v>130.5</v>
      </c>
      <c r="H118" s="1">
        <v>118.3</v>
      </c>
      <c r="I118" s="1">
        <v>131.69999999999999</v>
      </c>
      <c r="J118" s="1">
        <v>130.69999999999999</v>
      </c>
      <c r="K118" s="1">
        <v>161.19999999999999</v>
      </c>
      <c r="L118" s="1">
        <v>100.4</v>
      </c>
      <c r="M118" s="1">
        <v>130.80000000000001</v>
      </c>
      <c r="N118" s="1">
        <v>124.9</v>
      </c>
      <c r="O118" s="1">
        <v>137</v>
      </c>
      <c r="P118" s="1">
        <v>130.4</v>
      </c>
      <c r="Q118" s="1">
        <v>135</v>
      </c>
      <c r="R118" s="1">
        <v>134.4</v>
      </c>
      <c r="S118" s="1">
        <v>130.19999999999999</v>
      </c>
      <c r="T118" s="1">
        <v>133.80000000000001</v>
      </c>
      <c r="U118" s="1" t="s">
        <v>81</v>
      </c>
      <c r="V118" s="1">
        <v>127</v>
      </c>
      <c r="W118" s="1">
        <v>127.7</v>
      </c>
      <c r="X118" s="1">
        <v>124.8</v>
      </c>
      <c r="Y118" s="1">
        <v>113.6</v>
      </c>
      <c r="Z118" s="1">
        <v>122.5</v>
      </c>
      <c r="AA118" s="1">
        <v>127.5</v>
      </c>
      <c r="AB118" s="1">
        <v>117.4</v>
      </c>
      <c r="AC118" s="1">
        <v>121.1</v>
      </c>
      <c r="AD118" s="1">
        <v>128</v>
      </c>
    </row>
    <row r="119" spans="1:30" x14ac:dyDescent="0.3">
      <c r="A119" s="1" t="s">
        <v>32</v>
      </c>
      <c r="B119" s="1">
        <v>2016</v>
      </c>
      <c r="C119" s="1" t="s">
        <v>37</v>
      </c>
      <c r="D119" s="1">
        <v>124.8</v>
      </c>
      <c r="E119" s="1">
        <v>136.30000000000001</v>
      </c>
      <c r="F119" s="1">
        <v>123.7</v>
      </c>
      <c r="G119" s="1">
        <v>129.69999999999999</v>
      </c>
      <c r="H119" s="1">
        <v>107.9</v>
      </c>
      <c r="I119" s="1">
        <v>119.9</v>
      </c>
      <c r="J119" s="1">
        <v>128.1</v>
      </c>
      <c r="K119" s="1">
        <v>170.3</v>
      </c>
      <c r="L119" s="1">
        <v>101.8</v>
      </c>
      <c r="M119" s="1">
        <v>140.1</v>
      </c>
      <c r="N119" s="1">
        <v>120.7</v>
      </c>
      <c r="O119" s="1">
        <v>135.4</v>
      </c>
      <c r="P119" s="1">
        <v>128.9</v>
      </c>
      <c r="Q119" s="1">
        <v>140.6</v>
      </c>
      <c r="R119" s="1">
        <v>126.4</v>
      </c>
      <c r="S119" s="1">
        <v>120.3</v>
      </c>
      <c r="T119" s="1">
        <v>125.5</v>
      </c>
      <c r="U119" s="1" t="s">
        <v>81</v>
      </c>
      <c r="V119" s="1">
        <v>114.8</v>
      </c>
      <c r="W119" s="1">
        <v>122.3</v>
      </c>
      <c r="X119" s="1">
        <v>119.7</v>
      </c>
      <c r="Y119" s="1">
        <v>108.5</v>
      </c>
      <c r="Z119" s="1">
        <v>119.1</v>
      </c>
      <c r="AA119" s="1">
        <v>126.4</v>
      </c>
      <c r="AB119" s="1">
        <v>117.1</v>
      </c>
      <c r="AC119" s="1">
        <v>117.3</v>
      </c>
      <c r="AD119" s="1">
        <v>123.8</v>
      </c>
    </row>
    <row r="120" spans="1:30" x14ac:dyDescent="0.3">
      <c r="A120" s="1" t="s">
        <v>34</v>
      </c>
      <c r="B120" s="1">
        <v>2016</v>
      </c>
      <c r="C120" s="1" t="s">
        <v>37</v>
      </c>
      <c r="D120" s="1">
        <v>126.5</v>
      </c>
      <c r="E120" s="1">
        <v>135.1</v>
      </c>
      <c r="F120" s="1">
        <v>124.6</v>
      </c>
      <c r="G120" s="1">
        <v>130.19999999999999</v>
      </c>
      <c r="H120" s="1">
        <v>114.5</v>
      </c>
      <c r="I120" s="1">
        <v>126.2</v>
      </c>
      <c r="J120" s="1">
        <v>129.80000000000001</v>
      </c>
      <c r="K120" s="1">
        <v>164.3</v>
      </c>
      <c r="L120" s="1">
        <v>100.9</v>
      </c>
      <c r="M120" s="1">
        <v>133.9</v>
      </c>
      <c r="N120" s="1">
        <v>123.1</v>
      </c>
      <c r="O120" s="1">
        <v>136.30000000000001</v>
      </c>
      <c r="P120" s="1">
        <v>129.80000000000001</v>
      </c>
      <c r="Q120" s="1">
        <v>136.5</v>
      </c>
      <c r="R120" s="1">
        <v>131.30000000000001</v>
      </c>
      <c r="S120" s="1">
        <v>126.1</v>
      </c>
      <c r="T120" s="1">
        <v>130.5</v>
      </c>
      <c r="U120" s="1" t="s">
        <v>81</v>
      </c>
      <c r="V120" s="1">
        <v>122.4</v>
      </c>
      <c r="W120" s="1">
        <v>125.1</v>
      </c>
      <c r="X120" s="1">
        <v>122.9</v>
      </c>
      <c r="Y120" s="1">
        <v>110.9</v>
      </c>
      <c r="Z120" s="1">
        <v>120.6</v>
      </c>
      <c r="AA120" s="1">
        <v>126.9</v>
      </c>
      <c r="AB120" s="1">
        <v>117.3</v>
      </c>
      <c r="AC120" s="1">
        <v>119.3</v>
      </c>
      <c r="AD120" s="1">
        <v>126</v>
      </c>
    </row>
    <row r="121" spans="1:30" x14ac:dyDescent="0.3">
      <c r="A121" s="1" t="s">
        <v>30</v>
      </c>
      <c r="B121" s="1">
        <v>2016</v>
      </c>
      <c r="C121" s="1" t="s">
        <v>38</v>
      </c>
      <c r="D121" s="1">
        <v>127.4</v>
      </c>
      <c r="E121" s="1">
        <v>135.4</v>
      </c>
      <c r="F121" s="1">
        <v>123.4</v>
      </c>
      <c r="G121" s="1">
        <v>131.30000000000001</v>
      </c>
      <c r="H121" s="1">
        <v>118.2</v>
      </c>
      <c r="I121" s="1">
        <v>138.1</v>
      </c>
      <c r="J121" s="1">
        <v>134.1</v>
      </c>
      <c r="K121" s="1">
        <v>162.69999999999999</v>
      </c>
      <c r="L121" s="1">
        <v>105</v>
      </c>
      <c r="M121" s="1">
        <v>131.4</v>
      </c>
      <c r="N121" s="1">
        <v>125.4</v>
      </c>
      <c r="O121" s="1">
        <v>137.4</v>
      </c>
      <c r="P121" s="1">
        <v>131.80000000000001</v>
      </c>
      <c r="Q121" s="1">
        <v>135.5</v>
      </c>
      <c r="R121" s="1">
        <v>135</v>
      </c>
      <c r="S121" s="1">
        <v>130.6</v>
      </c>
      <c r="T121" s="1">
        <v>134.4</v>
      </c>
      <c r="U121" s="1" t="s">
        <v>82</v>
      </c>
      <c r="V121" s="1">
        <v>127</v>
      </c>
      <c r="W121" s="1">
        <v>128</v>
      </c>
      <c r="X121" s="1">
        <v>125.2</v>
      </c>
      <c r="Y121" s="1">
        <v>114.4</v>
      </c>
      <c r="Z121" s="1">
        <v>123.2</v>
      </c>
      <c r="AA121" s="1">
        <v>127.9</v>
      </c>
      <c r="AB121" s="1">
        <v>118.4</v>
      </c>
      <c r="AC121" s="1">
        <v>121.7</v>
      </c>
      <c r="AD121" s="1">
        <v>129</v>
      </c>
    </row>
    <row r="122" spans="1:30" x14ac:dyDescent="0.3">
      <c r="A122" s="1" t="s">
        <v>32</v>
      </c>
      <c r="B122" s="1">
        <v>2016</v>
      </c>
      <c r="C122" s="1" t="s">
        <v>38</v>
      </c>
      <c r="D122" s="1">
        <v>124.9</v>
      </c>
      <c r="E122" s="1">
        <v>139.30000000000001</v>
      </c>
      <c r="F122" s="1">
        <v>119.9</v>
      </c>
      <c r="G122" s="1">
        <v>130.19999999999999</v>
      </c>
      <c r="H122" s="1">
        <v>108.9</v>
      </c>
      <c r="I122" s="1">
        <v>131.1</v>
      </c>
      <c r="J122" s="1">
        <v>136.80000000000001</v>
      </c>
      <c r="K122" s="1">
        <v>176.9</v>
      </c>
      <c r="L122" s="1">
        <v>109.1</v>
      </c>
      <c r="M122" s="1">
        <v>140.4</v>
      </c>
      <c r="N122" s="1">
        <v>121.1</v>
      </c>
      <c r="O122" s="1">
        <v>135.9</v>
      </c>
      <c r="P122" s="1">
        <v>131.80000000000001</v>
      </c>
      <c r="Q122" s="1">
        <v>141.5</v>
      </c>
      <c r="R122" s="1">
        <v>126.8</v>
      </c>
      <c r="S122" s="1">
        <v>120.5</v>
      </c>
      <c r="T122" s="1">
        <v>125.8</v>
      </c>
      <c r="U122" s="1" t="s">
        <v>82</v>
      </c>
      <c r="V122" s="1">
        <v>114.6</v>
      </c>
      <c r="W122" s="1">
        <v>122.8</v>
      </c>
      <c r="X122" s="1">
        <v>120</v>
      </c>
      <c r="Y122" s="1">
        <v>110</v>
      </c>
      <c r="Z122" s="1">
        <v>119.5</v>
      </c>
      <c r="AA122" s="1">
        <v>127.6</v>
      </c>
      <c r="AB122" s="1">
        <v>117.6</v>
      </c>
      <c r="AC122" s="1">
        <v>118.2</v>
      </c>
      <c r="AD122" s="1">
        <v>125.3</v>
      </c>
    </row>
    <row r="123" spans="1:30" x14ac:dyDescent="0.3">
      <c r="A123" s="1" t="s">
        <v>34</v>
      </c>
      <c r="B123" s="1">
        <v>2016</v>
      </c>
      <c r="C123" s="1" t="s">
        <v>38</v>
      </c>
      <c r="D123" s="1">
        <v>126.6</v>
      </c>
      <c r="E123" s="1">
        <v>136.80000000000001</v>
      </c>
      <c r="F123" s="1">
        <v>122</v>
      </c>
      <c r="G123" s="1">
        <v>130.9</v>
      </c>
      <c r="H123" s="1">
        <v>114.8</v>
      </c>
      <c r="I123" s="1">
        <v>134.80000000000001</v>
      </c>
      <c r="J123" s="1">
        <v>135</v>
      </c>
      <c r="K123" s="1">
        <v>167.5</v>
      </c>
      <c r="L123" s="1">
        <v>106.4</v>
      </c>
      <c r="M123" s="1">
        <v>134.4</v>
      </c>
      <c r="N123" s="1">
        <v>123.6</v>
      </c>
      <c r="O123" s="1">
        <v>136.69999999999999</v>
      </c>
      <c r="P123" s="1">
        <v>131.80000000000001</v>
      </c>
      <c r="Q123" s="1">
        <v>137.1</v>
      </c>
      <c r="R123" s="1">
        <v>131.80000000000001</v>
      </c>
      <c r="S123" s="1">
        <v>126.4</v>
      </c>
      <c r="T123" s="1">
        <v>131</v>
      </c>
      <c r="U123" s="1" t="s">
        <v>82</v>
      </c>
      <c r="V123" s="1">
        <v>122.3</v>
      </c>
      <c r="W123" s="1">
        <v>125.5</v>
      </c>
      <c r="X123" s="1">
        <v>123.2</v>
      </c>
      <c r="Y123" s="1">
        <v>112.1</v>
      </c>
      <c r="Z123" s="1">
        <v>121.1</v>
      </c>
      <c r="AA123" s="1">
        <v>127.7</v>
      </c>
      <c r="AB123" s="1">
        <v>118.1</v>
      </c>
      <c r="AC123" s="1">
        <v>120</v>
      </c>
      <c r="AD123" s="1">
        <v>127.3</v>
      </c>
    </row>
    <row r="124" spans="1:30" x14ac:dyDescent="0.3">
      <c r="A124" s="1" t="s">
        <v>30</v>
      </c>
      <c r="B124" s="1">
        <v>2016</v>
      </c>
      <c r="C124" s="1" t="s">
        <v>40</v>
      </c>
      <c r="D124" s="1">
        <v>127.6</v>
      </c>
      <c r="E124" s="1">
        <v>137.5</v>
      </c>
      <c r="F124" s="1">
        <v>124.4</v>
      </c>
      <c r="G124" s="1">
        <v>132.4</v>
      </c>
      <c r="H124" s="1">
        <v>118.2</v>
      </c>
      <c r="I124" s="1">
        <v>138.1</v>
      </c>
      <c r="J124" s="1">
        <v>141.80000000000001</v>
      </c>
      <c r="K124" s="1">
        <v>166</v>
      </c>
      <c r="L124" s="1">
        <v>107.5</v>
      </c>
      <c r="M124" s="1">
        <v>132.19999999999999</v>
      </c>
      <c r="N124" s="1">
        <v>126.1</v>
      </c>
      <c r="O124" s="1">
        <v>138.30000000000001</v>
      </c>
      <c r="P124" s="1">
        <v>133.6</v>
      </c>
      <c r="Q124" s="1">
        <v>136</v>
      </c>
      <c r="R124" s="1">
        <v>135.4</v>
      </c>
      <c r="S124" s="1">
        <v>131.1</v>
      </c>
      <c r="T124" s="1">
        <v>134.80000000000001</v>
      </c>
      <c r="U124" s="1" t="s">
        <v>83</v>
      </c>
      <c r="V124" s="1">
        <v>127.4</v>
      </c>
      <c r="W124" s="1">
        <v>128.5</v>
      </c>
      <c r="X124" s="1">
        <v>125.8</v>
      </c>
      <c r="Y124" s="1">
        <v>115.1</v>
      </c>
      <c r="Z124" s="1">
        <v>123.6</v>
      </c>
      <c r="AA124" s="1">
        <v>129.1</v>
      </c>
      <c r="AB124" s="1">
        <v>119.7</v>
      </c>
      <c r="AC124" s="1">
        <v>122.5</v>
      </c>
      <c r="AD124" s="1">
        <v>130.30000000000001</v>
      </c>
    </row>
    <row r="125" spans="1:30" x14ac:dyDescent="0.3">
      <c r="A125" s="1" t="s">
        <v>32</v>
      </c>
      <c r="B125" s="1">
        <v>2016</v>
      </c>
      <c r="C125" s="1" t="s">
        <v>40</v>
      </c>
      <c r="D125" s="1">
        <v>125</v>
      </c>
      <c r="E125" s="1">
        <v>142.1</v>
      </c>
      <c r="F125" s="1">
        <v>127</v>
      </c>
      <c r="G125" s="1">
        <v>130.4</v>
      </c>
      <c r="H125" s="1">
        <v>109.6</v>
      </c>
      <c r="I125" s="1">
        <v>133.5</v>
      </c>
      <c r="J125" s="1">
        <v>151.4</v>
      </c>
      <c r="K125" s="1">
        <v>182.8</v>
      </c>
      <c r="L125" s="1">
        <v>111.1</v>
      </c>
      <c r="M125" s="1">
        <v>141.5</v>
      </c>
      <c r="N125" s="1">
        <v>121.5</v>
      </c>
      <c r="O125" s="1">
        <v>136.30000000000001</v>
      </c>
      <c r="P125" s="1">
        <v>134.6</v>
      </c>
      <c r="Q125" s="1">
        <v>142.19999999999999</v>
      </c>
      <c r="R125" s="1">
        <v>127.2</v>
      </c>
      <c r="S125" s="1">
        <v>120.7</v>
      </c>
      <c r="T125" s="1">
        <v>126.2</v>
      </c>
      <c r="U125" s="1" t="s">
        <v>83</v>
      </c>
      <c r="V125" s="1">
        <v>115</v>
      </c>
      <c r="W125" s="1">
        <v>123.2</v>
      </c>
      <c r="X125" s="1">
        <v>120.3</v>
      </c>
      <c r="Y125" s="1">
        <v>110.7</v>
      </c>
      <c r="Z125" s="1">
        <v>119.8</v>
      </c>
      <c r="AA125" s="1">
        <v>128</v>
      </c>
      <c r="AB125" s="1">
        <v>118.5</v>
      </c>
      <c r="AC125" s="1">
        <v>118.7</v>
      </c>
      <c r="AD125" s="1">
        <v>126.6</v>
      </c>
    </row>
    <row r="126" spans="1:30" x14ac:dyDescent="0.3">
      <c r="A126" s="1" t="s">
        <v>34</v>
      </c>
      <c r="B126" s="1">
        <v>2016</v>
      </c>
      <c r="C126" s="1" t="s">
        <v>40</v>
      </c>
      <c r="D126" s="1">
        <v>126.8</v>
      </c>
      <c r="E126" s="1">
        <v>139.1</v>
      </c>
      <c r="F126" s="1">
        <v>125.4</v>
      </c>
      <c r="G126" s="1">
        <v>131.69999999999999</v>
      </c>
      <c r="H126" s="1">
        <v>115</v>
      </c>
      <c r="I126" s="1">
        <v>136</v>
      </c>
      <c r="J126" s="1">
        <v>145.1</v>
      </c>
      <c r="K126" s="1">
        <v>171.7</v>
      </c>
      <c r="L126" s="1">
        <v>108.7</v>
      </c>
      <c r="M126" s="1">
        <v>135.30000000000001</v>
      </c>
      <c r="N126" s="1">
        <v>124.2</v>
      </c>
      <c r="O126" s="1">
        <v>137.4</v>
      </c>
      <c r="P126" s="1">
        <v>134</v>
      </c>
      <c r="Q126" s="1">
        <v>137.69999999999999</v>
      </c>
      <c r="R126" s="1">
        <v>132.19999999999999</v>
      </c>
      <c r="S126" s="1">
        <v>126.8</v>
      </c>
      <c r="T126" s="1">
        <v>131.4</v>
      </c>
      <c r="U126" s="1" t="s">
        <v>83</v>
      </c>
      <c r="V126" s="1">
        <v>122.7</v>
      </c>
      <c r="W126" s="1">
        <v>126</v>
      </c>
      <c r="X126" s="1">
        <v>123.7</v>
      </c>
      <c r="Y126" s="1">
        <v>112.8</v>
      </c>
      <c r="Z126" s="1">
        <v>121.5</v>
      </c>
      <c r="AA126" s="1">
        <v>128.5</v>
      </c>
      <c r="AB126" s="1">
        <v>119.2</v>
      </c>
      <c r="AC126" s="1">
        <v>120.7</v>
      </c>
      <c r="AD126" s="1">
        <v>128.6</v>
      </c>
    </row>
    <row r="127" spans="1:30" x14ac:dyDescent="0.3">
      <c r="A127" s="1" t="s">
        <v>30</v>
      </c>
      <c r="B127" s="1">
        <v>2016</v>
      </c>
      <c r="C127" s="1" t="s">
        <v>41</v>
      </c>
      <c r="D127" s="1">
        <v>128.6</v>
      </c>
      <c r="E127" s="1">
        <v>138.6</v>
      </c>
      <c r="F127" s="1">
        <v>126.6</v>
      </c>
      <c r="G127" s="1">
        <v>133.6</v>
      </c>
      <c r="H127" s="1">
        <v>118.6</v>
      </c>
      <c r="I127" s="1">
        <v>137.4</v>
      </c>
      <c r="J127" s="1">
        <v>152.5</v>
      </c>
      <c r="K127" s="1">
        <v>169.2</v>
      </c>
      <c r="L127" s="1">
        <v>108.8</v>
      </c>
      <c r="M127" s="1">
        <v>133.1</v>
      </c>
      <c r="N127" s="1">
        <v>126.4</v>
      </c>
      <c r="O127" s="1">
        <v>139.19999999999999</v>
      </c>
      <c r="P127" s="1">
        <v>136</v>
      </c>
      <c r="Q127" s="1">
        <v>137.19999999999999</v>
      </c>
      <c r="R127" s="1">
        <v>136.30000000000001</v>
      </c>
      <c r="S127" s="1">
        <v>131.6</v>
      </c>
      <c r="T127" s="1">
        <v>135.6</v>
      </c>
      <c r="U127" s="1" t="s">
        <v>84</v>
      </c>
      <c r="V127" s="1">
        <v>128</v>
      </c>
      <c r="W127" s="1">
        <v>129.30000000000001</v>
      </c>
      <c r="X127" s="1">
        <v>126.2</v>
      </c>
      <c r="Y127" s="1">
        <v>116.3</v>
      </c>
      <c r="Z127" s="1">
        <v>124.1</v>
      </c>
      <c r="AA127" s="1">
        <v>130.19999999999999</v>
      </c>
      <c r="AB127" s="1">
        <v>119.9</v>
      </c>
      <c r="AC127" s="1">
        <v>123.3</v>
      </c>
      <c r="AD127" s="1">
        <v>131.9</v>
      </c>
    </row>
    <row r="128" spans="1:30" x14ac:dyDescent="0.3">
      <c r="A128" s="1" t="s">
        <v>32</v>
      </c>
      <c r="B128" s="1">
        <v>2016</v>
      </c>
      <c r="C128" s="1" t="s">
        <v>41</v>
      </c>
      <c r="D128" s="1">
        <v>125.9</v>
      </c>
      <c r="E128" s="1">
        <v>143.9</v>
      </c>
      <c r="F128" s="1">
        <v>130.9</v>
      </c>
      <c r="G128" s="1">
        <v>131</v>
      </c>
      <c r="H128" s="1">
        <v>110.2</v>
      </c>
      <c r="I128" s="1">
        <v>135.5</v>
      </c>
      <c r="J128" s="1">
        <v>173.7</v>
      </c>
      <c r="K128" s="1">
        <v>184.4</v>
      </c>
      <c r="L128" s="1">
        <v>112</v>
      </c>
      <c r="M128" s="1">
        <v>142.80000000000001</v>
      </c>
      <c r="N128" s="1">
        <v>121.6</v>
      </c>
      <c r="O128" s="1">
        <v>136.9</v>
      </c>
      <c r="P128" s="1">
        <v>138.19999999999999</v>
      </c>
      <c r="Q128" s="1">
        <v>142.69999999999999</v>
      </c>
      <c r="R128" s="1">
        <v>127.6</v>
      </c>
      <c r="S128" s="1">
        <v>121.1</v>
      </c>
      <c r="T128" s="1">
        <v>126.6</v>
      </c>
      <c r="U128" s="1" t="s">
        <v>84</v>
      </c>
      <c r="V128" s="1">
        <v>115.5</v>
      </c>
      <c r="W128" s="1">
        <v>123.2</v>
      </c>
      <c r="X128" s="1">
        <v>120.6</v>
      </c>
      <c r="Y128" s="1">
        <v>112.3</v>
      </c>
      <c r="Z128" s="1">
        <v>119.9</v>
      </c>
      <c r="AA128" s="1">
        <v>129.30000000000001</v>
      </c>
      <c r="AB128" s="1">
        <v>118.8</v>
      </c>
      <c r="AC128" s="1">
        <v>119.6</v>
      </c>
      <c r="AD128" s="1">
        <v>128.1</v>
      </c>
    </row>
    <row r="129" spans="1:30" x14ac:dyDescent="0.3">
      <c r="A129" s="1" t="s">
        <v>34</v>
      </c>
      <c r="B129" s="1">
        <v>2016</v>
      </c>
      <c r="C129" s="1" t="s">
        <v>41</v>
      </c>
      <c r="D129" s="1">
        <v>127.7</v>
      </c>
      <c r="E129" s="1">
        <v>140.5</v>
      </c>
      <c r="F129" s="1">
        <v>128.30000000000001</v>
      </c>
      <c r="G129" s="1">
        <v>132.6</v>
      </c>
      <c r="H129" s="1">
        <v>115.5</v>
      </c>
      <c r="I129" s="1">
        <v>136.5</v>
      </c>
      <c r="J129" s="1">
        <v>159.69999999999999</v>
      </c>
      <c r="K129" s="1">
        <v>174.3</v>
      </c>
      <c r="L129" s="1">
        <v>109.9</v>
      </c>
      <c r="M129" s="1">
        <v>136.30000000000001</v>
      </c>
      <c r="N129" s="1">
        <v>124.4</v>
      </c>
      <c r="O129" s="1">
        <v>138.1</v>
      </c>
      <c r="P129" s="1">
        <v>136.80000000000001</v>
      </c>
      <c r="Q129" s="1">
        <v>138.69999999999999</v>
      </c>
      <c r="R129" s="1">
        <v>132.9</v>
      </c>
      <c r="S129" s="1">
        <v>127.2</v>
      </c>
      <c r="T129" s="1">
        <v>132</v>
      </c>
      <c r="U129" s="1" t="s">
        <v>84</v>
      </c>
      <c r="V129" s="1">
        <v>123.3</v>
      </c>
      <c r="W129" s="1">
        <v>126.4</v>
      </c>
      <c r="X129" s="1">
        <v>124.1</v>
      </c>
      <c r="Y129" s="1">
        <v>114.2</v>
      </c>
      <c r="Z129" s="1">
        <v>121.7</v>
      </c>
      <c r="AA129" s="1">
        <v>129.69999999999999</v>
      </c>
      <c r="AB129" s="1">
        <v>119.4</v>
      </c>
      <c r="AC129" s="1">
        <v>121.5</v>
      </c>
      <c r="AD129" s="1">
        <v>130.1</v>
      </c>
    </row>
    <row r="130" spans="1:30" x14ac:dyDescent="0.3">
      <c r="A130" s="1" t="s">
        <v>30</v>
      </c>
      <c r="B130" s="1">
        <v>2016</v>
      </c>
      <c r="C130" s="1" t="s">
        <v>43</v>
      </c>
      <c r="D130" s="1">
        <v>129.30000000000001</v>
      </c>
      <c r="E130" s="1">
        <v>139.5</v>
      </c>
      <c r="F130" s="1">
        <v>129.6</v>
      </c>
      <c r="G130" s="1">
        <v>134.5</v>
      </c>
      <c r="H130" s="1">
        <v>119.5</v>
      </c>
      <c r="I130" s="1">
        <v>138.5</v>
      </c>
      <c r="J130" s="1">
        <v>158.19999999999999</v>
      </c>
      <c r="K130" s="1">
        <v>171.8</v>
      </c>
      <c r="L130" s="1">
        <v>110.3</v>
      </c>
      <c r="M130" s="1">
        <v>134.30000000000001</v>
      </c>
      <c r="N130" s="1">
        <v>127.3</v>
      </c>
      <c r="O130" s="1">
        <v>139.9</v>
      </c>
      <c r="P130" s="1">
        <v>137.6</v>
      </c>
      <c r="Q130" s="1">
        <v>138</v>
      </c>
      <c r="R130" s="1">
        <v>137.19999999999999</v>
      </c>
      <c r="S130" s="1">
        <v>132.19999999999999</v>
      </c>
      <c r="T130" s="1">
        <v>136.5</v>
      </c>
      <c r="U130" s="1" t="s">
        <v>85</v>
      </c>
      <c r="V130" s="1">
        <v>128.19999999999999</v>
      </c>
      <c r="W130" s="1">
        <v>130</v>
      </c>
      <c r="X130" s="1">
        <v>126.7</v>
      </c>
      <c r="Y130" s="1">
        <v>116.4</v>
      </c>
      <c r="Z130" s="1">
        <v>125.2</v>
      </c>
      <c r="AA130" s="1">
        <v>130.80000000000001</v>
      </c>
      <c r="AB130" s="1">
        <v>120.9</v>
      </c>
      <c r="AC130" s="1">
        <v>123.8</v>
      </c>
      <c r="AD130" s="1">
        <v>133</v>
      </c>
    </row>
    <row r="131" spans="1:30" x14ac:dyDescent="0.3">
      <c r="A131" s="1" t="s">
        <v>32</v>
      </c>
      <c r="B131" s="1">
        <v>2016</v>
      </c>
      <c r="C131" s="1" t="s">
        <v>43</v>
      </c>
      <c r="D131" s="1">
        <v>126.8</v>
      </c>
      <c r="E131" s="1">
        <v>144.19999999999999</v>
      </c>
      <c r="F131" s="1">
        <v>136.6</v>
      </c>
      <c r="G131" s="1">
        <v>131.80000000000001</v>
      </c>
      <c r="H131" s="1">
        <v>111</v>
      </c>
      <c r="I131" s="1">
        <v>137</v>
      </c>
      <c r="J131" s="1">
        <v>179.5</v>
      </c>
      <c r="K131" s="1">
        <v>188.4</v>
      </c>
      <c r="L131" s="1">
        <v>113.3</v>
      </c>
      <c r="M131" s="1">
        <v>143.9</v>
      </c>
      <c r="N131" s="1">
        <v>121.7</v>
      </c>
      <c r="O131" s="1">
        <v>137.5</v>
      </c>
      <c r="P131" s="1">
        <v>139.80000000000001</v>
      </c>
      <c r="Q131" s="1">
        <v>142.9</v>
      </c>
      <c r="R131" s="1">
        <v>127.9</v>
      </c>
      <c r="S131" s="1">
        <v>121.1</v>
      </c>
      <c r="T131" s="1">
        <v>126.9</v>
      </c>
      <c r="U131" s="1" t="s">
        <v>85</v>
      </c>
      <c r="V131" s="1">
        <v>115.5</v>
      </c>
      <c r="W131" s="1">
        <v>123.5</v>
      </c>
      <c r="X131" s="1">
        <v>120.9</v>
      </c>
      <c r="Y131" s="1">
        <v>111.7</v>
      </c>
      <c r="Z131" s="1">
        <v>120.3</v>
      </c>
      <c r="AA131" s="1">
        <v>130.80000000000001</v>
      </c>
      <c r="AB131" s="1">
        <v>120</v>
      </c>
      <c r="AC131" s="1">
        <v>119.9</v>
      </c>
      <c r="AD131" s="1">
        <v>129</v>
      </c>
    </row>
    <row r="132" spans="1:30" x14ac:dyDescent="0.3">
      <c r="A132" s="1" t="s">
        <v>34</v>
      </c>
      <c r="B132" s="1">
        <v>2016</v>
      </c>
      <c r="C132" s="1" t="s">
        <v>43</v>
      </c>
      <c r="D132" s="1">
        <v>128.5</v>
      </c>
      <c r="E132" s="1">
        <v>141.19999999999999</v>
      </c>
      <c r="F132" s="1">
        <v>132.30000000000001</v>
      </c>
      <c r="G132" s="1">
        <v>133.5</v>
      </c>
      <c r="H132" s="1">
        <v>116.4</v>
      </c>
      <c r="I132" s="1">
        <v>137.80000000000001</v>
      </c>
      <c r="J132" s="1">
        <v>165.4</v>
      </c>
      <c r="K132" s="1">
        <v>177.4</v>
      </c>
      <c r="L132" s="1">
        <v>111.3</v>
      </c>
      <c r="M132" s="1">
        <v>137.5</v>
      </c>
      <c r="N132" s="1">
        <v>125</v>
      </c>
      <c r="O132" s="1">
        <v>138.80000000000001</v>
      </c>
      <c r="P132" s="1">
        <v>138.4</v>
      </c>
      <c r="Q132" s="1">
        <v>139.30000000000001</v>
      </c>
      <c r="R132" s="1">
        <v>133.5</v>
      </c>
      <c r="S132" s="1">
        <v>127.6</v>
      </c>
      <c r="T132" s="1">
        <v>132.69999999999999</v>
      </c>
      <c r="U132" s="1" t="s">
        <v>85</v>
      </c>
      <c r="V132" s="1">
        <v>123.4</v>
      </c>
      <c r="W132" s="1">
        <v>126.9</v>
      </c>
      <c r="X132" s="1">
        <v>124.5</v>
      </c>
      <c r="Y132" s="1">
        <v>113.9</v>
      </c>
      <c r="Z132" s="1">
        <v>122.4</v>
      </c>
      <c r="AA132" s="1">
        <v>130.80000000000001</v>
      </c>
      <c r="AB132" s="1">
        <v>120.5</v>
      </c>
      <c r="AC132" s="1">
        <v>121.9</v>
      </c>
      <c r="AD132" s="1">
        <v>131.1</v>
      </c>
    </row>
    <row r="133" spans="1:30" x14ac:dyDescent="0.3">
      <c r="A133" s="1" t="s">
        <v>30</v>
      </c>
      <c r="B133" s="1">
        <v>2016</v>
      </c>
      <c r="C133" s="1" t="s">
        <v>45</v>
      </c>
      <c r="D133" s="1">
        <v>130.1</v>
      </c>
      <c r="E133" s="1">
        <v>138.80000000000001</v>
      </c>
      <c r="F133" s="1">
        <v>130.30000000000001</v>
      </c>
      <c r="G133" s="1">
        <v>135.30000000000001</v>
      </c>
      <c r="H133" s="1">
        <v>119.9</v>
      </c>
      <c r="I133" s="1">
        <v>140.19999999999999</v>
      </c>
      <c r="J133" s="1">
        <v>156.9</v>
      </c>
      <c r="K133" s="1">
        <v>172.2</v>
      </c>
      <c r="L133" s="1">
        <v>112.1</v>
      </c>
      <c r="M133" s="1">
        <v>134.9</v>
      </c>
      <c r="N133" s="1">
        <v>128.1</v>
      </c>
      <c r="O133" s="1">
        <v>140.69999999999999</v>
      </c>
      <c r="P133" s="1">
        <v>138</v>
      </c>
      <c r="Q133" s="1">
        <v>138.9</v>
      </c>
      <c r="R133" s="1">
        <v>137.80000000000001</v>
      </c>
      <c r="S133" s="1">
        <v>133</v>
      </c>
      <c r="T133" s="1">
        <v>137.1</v>
      </c>
      <c r="U133" s="1" t="s">
        <v>86</v>
      </c>
      <c r="V133" s="1">
        <v>129.1</v>
      </c>
      <c r="W133" s="1">
        <v>130.6</v>
      </c>
      <c r="X133" s="1">
        <v>127</v>
      </c>
      <c r="Y133" s="1">
        <v>116</v>
      </c>
      <c r="Z133" s="1">
        <v>125.5</v>
      </c>
      <c r="AA133" s="1">
        <v>131.9</v>
      </c>
      <c r="AB133" s="1">
        <v>122</v>
      </c>
      <c r="AC133" s="1">
        <v>124.2</v>
      </c>
      <c r="AD133" s="1">
        <v>133.5</v>
      </c>
    </row>
    <row r="134" spans="1:30" x14ac:dyDescent="0.3">
      <c r="A134" s="1" t="s">
        <v>32</v>
      </c>
      <c r="B134" s="1">
        <v>2016</v>
      </c>
      <c r="C134" s="1" t="s">
        <v>45</v>
      </c>
      <c r="D134" s="1">
        <v>127.6</v>
      </c>
      <c r="E134" s="1">
        <v>140.30000000000001</v>
      </c>
      <c r="F134" s="1">
        <v>133.69999999999999</v>
      </c>
      <c r="G134" s="1">
        <v>132.19999999999999</v>
      </c>
      <c r="H134" s="1">
        <v>111.8</v>
      </c>
      <c r="I134" s="1">
        <v>135.80000000000001</v>
      </c>
      <c r="J134" s="1">
        <v>163.5</v>
      </c>
      <c r="K134" s="1">
        <v>182.3</v>
      </c>
      <c r="L134" s="1">
        <v>114.6</v>
      </c>
      <c r="M134" s="1">
        <v>144.6</v>
      </c>
      <c r="N134" s="1">
        <v>121.9</v>
      </c>
      <c r="O134" s="1">
        <v>138.1</v>
      </c>
      <c r="P134" s="1">
        <v>137.6</v>
      </c>
      <c r="Q134" s="1">
        <v>143.6</v>
      </c>
      <c r="R134" s="1">
        <v>128.30000000000001</v>
      </c>
      <c r="S134" s="1">
        <v>121.4</v>
      </c>
      <c r="T134" s="1">
        <v>127.3</v>
      </c>
      <c r="U134" s="1" t="s">
        <v>86</v>
      </c>
      <c r="V134" s="1">
        <v>114.7</v>
      </c>
      <c r="W134" s="1">
        <v>123.9</v>
      </c>
      <c r="X134" s="1">
        <v>121.2</v>
      </c>
      <c r="Y134" s="1">
        <v>110.4</v>
      </c>
      <c r="Z134" s="1">
        <v>120.6</v>
      </c>
      <c r="AA134" s="1">
        <v>131.5</v>
      </c>
      <c r="AB134" s="1">
        <v>120.9</v>
      </c>
      <c r="AC134" s="1">
        <v>119.9</v>
      </c>
      <c r="AD134" s="1">
        <v>128.4</v>
      </c>
    </row>
    <row r="135" spans="1:30" x14ac:dyDescent="0.3">
      <c r="A135" s="1" t="s">
        <v>34</v>
      </c>
      <c r="B135" s="1">
        <v>2016</v>
      </c>
      <c r="C135" s="1" t="s">
        <v>45</v>
      </c>
      <c r="D135" s="1">
        <v>129.30000000000001</v>
      </c>
      <c r="E135" s="1">
        <v>139.30000000000001</v>
      </c>
      <c r="F135" s="1">
        <v>131.6</v>
      </c>
      <c r="G135" s="1">
        <v>134.1</v>
      </c>
      <c r="H135" s="1">
        <v>116.9</v>
      </c>
      <c r="I135" s="1">
        <v>138.1</v>
      </c>
      <c r="J135" s="1">
        <v>159.1</v>
      </c>
      <c r="K135" s="1">
        <v>175.6</v>
      </c>
      <c r="L135" s="1">
        <v>112.9</v>
      </c>
      <c r="M135" s="1">
        <v>138.1</v>
      </c>
      <c r="N135" s="1">
        <v>125.5</v>
      </c>
      <c r="O135" s="1">
        <v>139.5</v>
      </c>
      <c r="P135" s="1">
        <v>137.9</v>
      </c>
      <c r="Q135" s="1">
        <v>140.19999999999999</v>
      </c>
      <c r="R135" s="1">
        <v>134.1</v>
      </c>
      <c r="S135" s="1">
        <v>128.19999999999999</v>
      </c>
      <c r="T135" s="1">
        <v>133.19999999999999</v>
      </c>
      <c r="U135" s="1" t="s">
        <v>86</v>
      </c>
      <c r="V135" s="1">
        <v>123.6</v>
      </c>
      <c r="W135" s="1">
        <v>127.4</v>
      </c>
      <c r="X135" s="1">
        <v>124.8</v>
      </c>
      <c r="Y135" s="1">
        <v>113.1</v>
      </c>
      <c r="Z135" s="1">
        <v>122.7</v>
      </c>
      <c r="AA135" s="1">
        <v>131.69999999999999</v>
      </c>
      <c r="AB135" s="1">
        <v>121.5</v>
      </c>
      <c r="AC135" s="1">
        <v>122.1</v>
      </c>
      <c r="AD135" s="1">
        <v>131.1</v>
      </c>
    </row>
    <row r="136" spans="1:30" x14ac:dyDescent="0.3">
      <c r="A136" s="1" t="s">
        <v>30</v>
      </c>
      <c r="B136" s="1">
        <v>2016</v>
      </c>
      <c r="C136" s="1" t="s">
        <v>47</v>
      </c>
      <c r="D136" s="1">
        <v>130.80000000000001</v>
      </c>
      <c r="E136" s="1">
        <v>138.19999999999999</v>
      </c>
      <c r="F136" s="1">
        <v>130.5</v>
      </c>
      <c r="G136" s="1">
        <v>135.5</v>
      </c>
      <c r="H136" s="1">
        <v>120.2</v>
      </c>
      <c r="I136" s="1">
        <v>139.19999999999999</v>
      </c>
      <c r="J136" s="1">
        <v>149.5</v>
      </c>
      <c r="K136" s="1">
        <v>170.4</v>
      </c>
      <c r="L136" s="1">
        <v>113.1</v>
      </c>
      <c r="M136" s="1">
        <v>135.80000000000001</v>
      </c>
      <c r="N136" s="1">
        <v>128.80000000000001</v>
      </c>
      <c r="O136" s="1">
        <v>141.5</v>
      </c>
      <c r="P136" s="1">
        <v>137.19999999999999</v>
      </c>
      <c r="Q136" s="1">
        <v>139.9</v>
      </c>
      <c r="R136" s="1">
        <v>138.5</v>
      </c>
      <c r="S136" s="1">
        <v>133.5</v>
      </c>
      <c r="T136" s="1">
        <v>137.80000000000001</v>
      </c>
      <c r="U136" s="1" t="s">
        <v>87</v>
      </c>
      <c r="V136" s="1">
        <v>129.69999999999999</v>
      </c>
      <c r="W136" s="1">
        <v>131.1</v>
      </c>
      <c r="X136" s="1">
        <v>127.8</v>
      </c>
      <c r="Y136" s="1">
        <v>117</v>
      </c>
      <c r="Z136" s="1">
        <v>125.7</v>
      </c>
      <c r="AA136" s="1">
        <v>132.19999999999999</v>
      </c>
      <c r="AB136" s="1">
        <v>122.8</v>
      </c>
      <c r="AC136" s="1">
        <v>124.9</v>
      </c>
      <c r="AD136" s="1">
        <v>133.4</v>
      </c>
    </row>
    <row r="137" spans="1:30" x14ac:dyDescent="0.3">
      <c r="A137" s="1" t="s">
        <v>32</v>
      </c>
      <c r="B137" s="1">
        <v>2016</v>
      </c>
      <c r="C137" s="1" t="s">
        <v>47</v>
      </c>
      <c r="D137" s="1">
        <v>128.1</v>
      </c>
      <c r="E137" s="1">
        <v>137.69999999999999</v>
      </c>
      <c r="F137" s="1">
        <v>130.6</v>
      </c>
      <c r="G137" s="1">
        <v>132.6</v>
      </c>
      <c r="H137" s="1">
        <v>111.9</v>
      </c>
      <c r="I137" s="1">
        <v>132.5</v>
      </c>
      <c r="J137" s="1">
        <v>152.9</v>
      </c>
      <c r="K137" s="1">
        <v>173.6</v>
      </c>
      <c r="L137" s="1">
        <v>115.1</v>
      </c>
      <c r="M137" s="1">
        <v>144.80000000000001</v>
      </c>
      <c r="N137" s="1">
        <v>122.1</v>
      </c>
      <c r="O137" s="1">
        <v>138.80000000000001</v>
      </c>
      <c r="P137" s="1">
        <v>135.69999999999999</v>
      </c>
      <c r="Q137" s="1">
        <v>143.9</v>
      </c>
      <c r="R137" s="1">
        <v>128.69999999999999</v>
      </c>
      <c r="S137" s="1">
        <v>121.6</v>
      </c>
      <c r="T137" s="1">
        <v>127.7</v>
      </c>
      <c r="U137" s="1" t="s">
        <v>87</v>
      </c>
      <c r="V137" s="1">
        <v>114.8</v>
      </c>
      <c r="W137" s="1">
        <v>124.3</v>
      </c>
      <c r="X137" s="1">
        <v>121.4</v>
      </c>
      <c r="Y137" s="1">
        <v>111.8</v>
      </c>
      <c r="Z137" s="1">
        <v>120.8</v>
      </c>
      <c r="AA137" s="1">
        <v>131.6</v>
      </c>
      <c r="AB137" s="1">
        <v>121.2</v>
      </c>
      <c r="AC137" s="1">
        <v>120.5</v>
      </c>
      <c r="AD137" s="1">
        <v>128</v>
      </c>
    </row>
    <row r="138" spans="1:30" x14ac:dyDescent="0.3">
      <c r="A138" s="1" t="s">
        <v>34</v>
      </c>
      <c r="B138" s="1">
        <v>2016</v>
      </c>
      <c r="C138" s="1" t="s">
        <v>47</v>
      </c>
      <c r="D138" s="1">
        <v>129.9</v>
      </c>
      <c r="E138" s="1">
        <v>138</v>
      </c>
      <c r="F138" s="1">
        <v>130.5</v>
      </c>
      <c r="G138" s="1">
        <v>134.4</v>
      </c>
      <c r="H138" s="1">
        <v>117.2</v>
      </c>
      <c r="I138" s="1">
        <v>136.1</v>
      </c>
      <c r="J138" s="1">
        <v>150.69999999999999</v>
      </c>
      <c r="K138" s="1">
        <v>171.5</v>
      </c>
      <c r="L138" s="1">
        <v>113.8</v>
      </c>
      <c r="M138" s="1">
        <v>138.80000000000001</v>
      </c>
      <c r="N138" s="1">
        <v>126</v>
      </c>
      <c r="O138" s="1">
        <v>140.19999999999999</v>
      </c>
      <c r="P138" s="1">
        <v>136.6</v>
      </c>
      <c r="Q138" s="1">
        <v>141</v>
      </c>
      <c r="R138" s="1">
        <v>134.6</v>
      </c>
      <c r="S138" s="1">
        <v>128.6</v>
      </c>
      <c r="T138" s="1">
        <v>133.80000000000001</v>
      </c>
      <c r="U138" s="1" t="s">
        <v>87</v>
      </c>
      <c r="V138" s="1">
        <v>124.1</v>
      </c>
      <c r="W138" s="1">
        <v>127.9</v>
      </c>
      <c r="X138" s="1">
        <v>125.4</v>
      </c>
      <c r="Y138" s="1">
        <v>114.3</v>
      </c>
      <c r="Z138" s="1">
        <v>122.9</v>
      </c>
      <c r="AA138" s="1">
        <v>131.80000000000001</v>
      </c>
      <c r="AB138" s="1">
        <v>122.1</v>
      </c>
      <c r="AC138" s="1">
        <v>122.8</v>
      </c>
      <c r="AD138" s="1">
        <v>130.9</v>
      </c>
    </row>
    <row r="139" spans="1:30" x14ac:dyDescent="0.3">
      <c r="A139" s="1" t="s">
        <v>30</v>
      </c>
      <c r="B139" s="1">
        <v>2016</v>
      </c>
      <c r="C139" s="1" t="s">
        <v>49</v>
      </c>
      <c r="D139" s="1">
        <v>131.30000000000001</v>
      </c>
      <c r="E139" s="1">
        <v>137.6</v>
      </c>
      <c r="F139" s="1">
        <v>130.1</v>
      </c>
      <c r="G139" s="1">
        <v>136</v>
      </c>
      <c r="H139" s="1">
        <v>120.8</v>
      </c>
      <c r="I139" s="1">
        <v>138.4</v>
      </c>
      <c r="J139" s="1">
        <v>149.19999999999999</v>
      </c>
      <c r="K139" s="1">
        <v>170.2</v>
      </c>
      <c r="L139" s="1">
        <v>113.4</v>
      </c>
      <c r="M139" s="1">
        <v>136.30000000000001</v>
      </c>
      <c r="N139" s="1">
        <v>128.69999999999999</v>
      </c>
      <c r="O139" s="1">
        <v>142.4</v>
      </c>
      <c r="P139" s="1">
        <v>137.4</v>
      </c>
      <c r="Q139" s="1">
        <v>140.9</v>
      </c>
      <c r="R139" s="1">
        <v>139.6</v>
      </c>
      <c r="S139" s="1">
        <v>134.30000000000001</v>
      </c>
      <c r="T139" s="1">
        <v>138.80000000000001</v>
      </c>
      <c r="U139" s="1" t="s">
        <v>88</v>
      </c>
      <c r="V139" s="1">
        <v>129.80000000000001</v>
      </c>
      <c r="W139" s="1">
        <v>131.80000000000001</v>
      </c>
      <c r="X139" s="1">
        <v>128.69999999999999</v>
      </c>
      <c r="Y139" s="1">
        <v>117.8</v>
      </c>
      <c r="Z139" s="1">
        <v>126.5</v>
      </c>
      <c r="AA139" s="1">
        <v>133</v>
      </c>
      <c r="AB139" s="1">
        <v>123</v>
      </c>
      <c r="AC139" s="1">
        <v>125.7</v>
      </c>
      <c r="AD139" s="1">
        <v>133.80000000000001</v>
      </c>
    </row>
    <row r="140" spans="1:30" x14ac:dyDescent="0.3">
      <c r="A140" s="1" t="s">
        <v>32</v>
      </c>
      <c r="B140" s="1">
        <v>2016</v>
      </c>
      <c r="C140" s="1" t="s">
        <v>49</v>
      </c>
      <c r="D140" s="1">
        <v>128.69999999999999</v>
      </c>
      <c r="E140" s="1">
        <v>138.4</v>
      </c>
      <c r="F140" s="1">
        <v>130.30000000000001</v>
      </c>
      <c r="G140" s="1">
        <v>132.69999999999999</v>
      </c>
      <c r="H140" s="1">
        <v>112.5</v>
      </c>
      <c r="I140" s="1">
        <v>130.4</v>
      </c>
      <c r="J140" s="1">
        <v>155.1</v>
      </c>
      <c r="K140" s="1">
        <v>175.7</v>
      </c>
      <c r="L140" s="1">
        <v>115.4</v>
      </c>
      <c r="M140" s="1">
        <v>145.30000000000001</v>
      </c>
      <c r="N140" s="1">
        <v>122.5</v>
      </c>
      <c r="O140" s="1">
        <v>139.6</v>
      </c>
      <c r="P140" s="1">
        <v>136.30000000000001</v>
      </c>
      <c r="Q140" s="1">
        <v>144.30000000000001</v>
      </c>
      <c r="R140" s="1">
        <v>129.1</v>
      </c>
      <c r="S140" s="1">
        <v>121.9</v>
      </c>
      <c r="T140" s="1">
        <v>128</v>
      </c>
      <c r="U140" s="1" t="s">
        <v>88</v>
      </c>
      <c r="V140" s="1">
        <v>115.2</v>
      </c>
      <c r="W140" s="1">
        <v>124.5</v>
      </c>
      <c r="X140" s="1">
        <v>121.8</v>
      </c>
      <c r="Y140" s="1">
        <v>112.8</v>
      </c>
      <c r="Z140" s="1">
        <v>121.2</v>
      </c>
      <c r="AA140" s="1">
        <v>131.9</v>
      </c>
      <c r="AB140" s="1">
        <v>120.8</v>
      </c>
      <c r="AC140" s="1">
        <v>120.9</v>
      </c>
      <c r="AD140" s="1">
        <v>128.6</v>
      </c>
    </row>
    <row r="141" spans="1:30" x14ac:dyDescent="0.3">
      <c r="A141" s="1" t="s">
        <v>34</v>
      </c>
      <c r="B141" s="1">
        <v>2016</v>
      </c>
      <c r="C141" s="1" t="s">
        <v>49</v>
      </c>
      <c r="D141" s="1">
        <v>130.5</v>
      </c>
      <c r="E141" s="1">
        <v>137.9</v>
      </c>
      <c r="F141" s="1">
        <v>130.19999999999999</v>
      </c>
      <c r="G141" s="1">
        <v>134.80000000000001</v>
      </c>
      <c r="H141" s="1">
        <v>117.8</v>
      </c>
      <c r="I141" s="1">
        <v>134.69999999999999</v>
      </c>
      <c r="J141" s="1">
        <v>151.19999999999999</v>
      </c>
      <c r="K141" s="1">
        <v>172.1</v>
      </c>
      <c r="L141" s="1">
        <v>114.1</v>
      </c>
      <c r="M141" s="1">
        <v>139.30000000000001</v>
      </c>
      <c r="N141" s="1">
        <v>126.1</v>
      </c>
      <c r="O141" s="1">
        <v>141.1</v>
      </c>
      <c r="P141" s="1">
        <v>137</v>
      </c>
      <c r="Q141" s="1">
        <v>141.80000000000001</v>
      </c>
      <c r="R141" s="1">
        <v>135.5</v>
      </c>
      <c r="S141" s="1">
        <v>129.1</v>
      </c>
      <c r="T141" s="1">
        <v>134.5</v>
      </c>
      <c r="U141" s="1" t="s">
        <v>88</v>
      </c>
      <c r="V141" s="1">
        <v>124.3</v>
      </c>
      <c r="W141" s="1">
        <v>128.4</v>
      </c>
      <c r="X141" s="1">
        <v>126.1</v>
      </c>
      <c r="Y141" s="1">
        <v>115.2</v>
      </c>
      <c r="Z141" s="1">
        <v>123.5</v>
      </c>
      <c r="AA141" s="1">
        <v>132.4</v>
      </c>
      <c r="AB141" s="1">
        <v>122.1</v>
      </c>
      <c r="AC141" s="1">
        <v>123.4</v>
      </c>
      <c r="AD141" s="1">
        <v>131.4</v>
      </c>
    </row>
    <row r="142" spans="1:30" x14ac:dyDescent="0.3">
      <c r="A142" s="1" t="s">
        <v>30</v>
      </c>
      <c r="B142" s="1">
        <v>2016</v>
      </c>
      <c r="C142" s="1" t="s">
        <v>52</v>
      </c>
      <c r="D142" s="1">
        <v>132</v>
      </c>
      <c r="E142" s="1">
        <v>137.4</v>
      </c>
      <c r="F142" s="1">
        <v>130.6</v>
      </c>
      <c r="G142" s="1">
        <v>136.19999999999999</v>
      </c>
      <c r="H142" s="1">
        <v>121.1</v>
      </c>
      <c r="I142" s="1">
        <v>136.9</v>
      </c>
      <c r="J142" s="1">
        <v>141.80000000000001</v>
      </c>
      <c r="K142" s="1">
        <v>170</v>
      </c>
      <c r="L142" s="1">
        <v>113.4</v>
      </c>
      <c r="M142" s="1">
        <v>136.80000000000001</v>
      </c>
      <c r="N142" s="1">
        <v>128.69999999999999</v>
      </c>
      <c r="O142" s="1">
        <v>143.1</v>
      </c>
      <c r="P142" s="1">
        <v>136.6</v>
      </c>
      <c r="Q142" s="1">
        <v>141.19999999999999</v>
      </c>
      <c r="R142" s="1">
        <v>139.9</v>
      </c>
      <c r="S142" s="1">
        <v>134.5</v>
      </c>
      <c r="T142" s="1">
        <v>139.19999999999999</v>
      </c>
      <c r="U142" s="1" t="s">
        <v>89</v>
      </c>
      <c r="V142" s="1">
        <v>130.30000000000001</v>
      </c>
      <c r="W142" s="1">
        <v>132.1</v>
      </c>
      <c r="X142" s="1">
        <v>129.1</v>
      </c>
      <c r="Y142" s="1">
        <v>118.2</v>
      </c>
      <c r="Z142" s="1">
        <v>126.9</v>
      </c>
      <c r="AA142" s="1">
        <v>133.69999999999999</v>
      </c>
      <c r="AB142" s="1">
        <v>123.5</v>
      </c>
      <c r="AC142" s="1">
        <v>126.1</v>
      </c>
      <c r="AD142" s="1">
        <v>133.6</v>
      </c>
    </row>
    <row r="143" spans="1:30" x14ac:dyDescent="0.3">
      <c r="A143" s="1" t="s">
        <v>32</v>
      </c>
      <c r="B143" s="1">
        <v>2016</v>
      </c>
      <c r="C143" s="1" t="s">
        <v>52</v>
      </c>
      <c r="D143" s="1">
        <v>130.19999999999999</v>
      </c>
      <c r="E143" s="1">
        <v>138.5</v>
      </c>
      <c r="F143" s="1">
        <v>134.1</v>
      </c>
      <c r="G143" s="1">
        <v>132.9</v>
      </c>
      <c r="H143" s="1">
        <v>112.6</v>
      </c>
      <c r="I143" s="1">
        <v>130.80000000000001</v>
      </c>
      <c r="J143" s="1">
        <v>142</v>
      </c>
      <c r="K143" s="1">
        <v>174.9</v>
      </c>
      <c r="L143" s="1">
        <v>115.6</v>
      </c>
      <c r="M143" s="1">
        <v>145.4</v>
      </c>
      <c r="N143" s="1">
        <v>122.7</v>
      </c>
      <c r="O143" s="1">
        <v>140.30000000000001</v>
      </c>
      <c r="P143" s="1">
        <v>135.19999999999999</v>
      </c>
      <c r="Q143" s="1">
        <v>144.30000000000001</v>
      </c>
      <c r="R143" s="1">
        <v>129.6</v>
      </c>
      <c r="S143" s="1">
        <v>122.1</v>
      </c>
      <c r="T143" s="1">
        <v>128.5</v>
      </c>
      <c r="U143" s="1" t="s">
        <v>89</v>
      </c>
      <c r="V143" s="1">
        <v>116.2</v>
      </c>
      <c r="W143" s="1">
        <v>124.7</v>
      </c>
      <c r="X143" s="1">
        <v>122.1</v>
      </c>
      <c r="Y143" s="1">
        <v>113.4</v>
      </c>
      <c r="Z143" s="1">
        <v>121.7</v>
      </c>
      <c r="AA143" s="1">
        <v>132.1</v>
      </c>
      <c r="AB143" s="1">
        <v>121.3</v>
      </c>
      <c r="AC143" s="1">
        <v>121.3</v>
      </c>
      <c r="AD143" s="1">
        <v>128.5</v>
      </c>
    </row>
    <row r="144" spans="1:30" x14ac:dyDescent="0.3">
      <c r="A144" s="1" t="s">
        <v>34</v>
      </c>
      <c r="B144" s="1">
        <v>2016</v>
      </c>
      <c r="C144" s="1" t="s">
        <v>52</v>
      </c>
      <c r="D144" s="1">
        <v>131.4</v>
      </c>
      <c r="E144" s="1">
        <v>137.80000000000001</v>
      </c>
      <c r="F144" s="1">
        <v>132</v>
      </c>
      <c r="G144" s="1">
        <v>135</v>
      </c>
      <c r="H144" s="1">
        <v>118</v>
      </c>
      <c r="I144" s="1">
        <v>134.1</v>
      </c>
      <c r="J144" s="1">
        <v>141.9</v>
      </c>
      <c r="K144" s="1">
        <v>171.7</v>
      </c>
      <c r="L144" s="1">
        <v>114.1</v>
      </c>
      <c r="M144" s="1">
        <v>139.69999999999999</v>
      </c>
      <c r="N144" s="1">
        <v>126.2</v>
      </c>
      <c r="O144" s="1">
        <v>141.80000000000001</v>
      </c>
      <c r="P144" s="1">
        <v>136.1</v>
      </c>
      <c r="Q144" s="1">
        <v>142</v>
      </c>
      <c r="R144" s="1">
        <v>135.80000000000001</v>
      </c>
      <c r="S144" s="1">
        <v>129.30000000000001</v>
      </c>
      <c r="T144" s="1">
        <v>135</v>
      </c>
      <c r="U144" s="1" t="s">
        <v>89</v>
      </c>
      <c r="V144" s="1">
        <v>125</v>
      </c>
      <c r="W144" s="1">
        <v>128.6</v>
      </c>
      <c r="X144" s="1">
        <v>126.4</v>
      </c>
      <c r="Y144" s="1">
        <v>115.7</v>
      </c>
      <c r="Z144" s="1">
        <v>124</v>
      </c>
      <c r="AA144" s="1">
        <v>132.80000000000001</v>
      </c>
      <c r="AB144" s="1">
        <v>122.6</v>
      </c>
      <c r="AC144" s="1">
        <v>123.8</v>
      </c>
      <c r="AD144" s="1">
        <v>131.19999999999999</v>
      </c>
    </row>
    <row r="145" spans="1:30" x14ac:dyDescent="0.3">
      <c r="A145" s="1" t="s">
        <v>30</v>
      </c>
      <c r="B145" s="1">
        <v>2016</v>
      </c>
      <c r="C145" s="1" t="s">
        <v>54</v>
      </c>
      <c r="D145" s="1">
        <v>132.6</v>
      </c>
      <c r="E145" s="1">
        <v>137.30000000000001</v>
      </c>
      <c r="F145" s="1">
        <v>131.6</v>
      </c>
      <c r="G145" s="1">
        <v>136.30000000000001</v>
      </c>
      <c r="H145" s="1">
        <v>121.6</v>
      </c>
      <c r="I145" s="1">
        <v>135.6</v>
      </c>
      <c r="J145" s="1">
        <v>127.5</v>
      </c>
      <c r="K145" s="1">
        <v>167.9</v>
      </c>
      <c r="L145" s="1">
        <v>113.8</v>
      </c>
      <c r="M145" s="1">
        <v>137.5</v>
      </c>
      <c r="N145" s="1">
        <v>129.1</v>
      </c>
      <c r="O145" s="1">
        <v>143.6</v>
      </c>
      <c r="P145" s="1">
        <v>134.69999999999999</v>
      </c>
      <c r="Q145" s="1">
        <v>142.4</v>
      </c>
      <c r="R145" s="1">
        <v>140.4</v>
      </c>
      <c r="S145" s="1">
        <v>135.19999999999999</v>
      </c>
      <c r="T145" s="1">
        <v>139.69999999999999</v>
      </c>
      <c r="U145" s="1" t="s">
        <v>90</v>
      </c>
      <c r="V145" s="1">
        <v>132</v>
      </c>
      <c r="W145" s="1">
        <v>132.9</v>
      </c>
      <c r="X145" s="1">
        <v>129.69999999999999</v>
      </c>
      <c r="Y145" s="1">
        <v>118.6</v>
      </c>
      <c r="Z145" s="1">
        <v>127.3</v>
      </c>
      <c r="AA145" s="1">
        <v>134.19999999999999</v>
      </c>
      <c r="AB145" s="1">
        <v>121.9</v>
      </c>
      <c r="AC145" s="1">
        <v>126.3</v>
      </c>
      <c r="AD145" s="1">
        <v>132.80000000000001</v>
      </c>
    </row>
    <row r="146" spans="1:30" x14ac:dyDescent="0.3">
      <c r="A146" s="1" t="s">
        <v>32</v>
      </c>
      <c r="B146" s="1">
        <v>2016</v>
      </c>
      <c r="C146" s="1" t="s">
        <v>54</v>
      </c>
      <c r="D146" s="1">
        <v>131.6</v>
      </c>
      <c r="E146" s="1">
        <v>138.19999999999999</v>
      </c>
      <c r="F146" s="1">
        <v>134.9</v>
      </c>
      <c r="G146" s="1">
        <v>133.1</v>
      </c>
      <c r="H146" s="1">
        <v>113.5</v>
      </c>
      <c r="I146" s="1">
        <v>129.30000000000001</v>
      </c>
      <c r="J146" s="1">
        <v>121.1</v>
      </c>
      <c r="K146" s="1">
        <v>170.3</v>
      </c>
      <c r="L146" s="1">
        <v>115.5</v>
      </c>
      <c r="M146" s="1">
        <v>145.5</v>
      </c>
      <c r="N146" s="1">
        <v>123.1</v>
      </c>
      <c r="O146" s="1">
        <v>140.9</v>
      </c>
      <c r="P146" s="1">
        <v>132.80000000000001</v>
      </c>
      <c r="Q146" s="1">
        <v>145</v>
      </c>
      <c r="R146" s="1">
        <v>130</v>
      </c>
      <c r="S146" s="1">
        <v>122.2</v>
      </c>
      <c r="T146" s="1">
        <v>128.80000000000001</v>
      </c>
      <c r="U146" s="1" t="s">
        <v>90</v>
      </c>
      <c r="V146" s="1">
        <v>117.8</v>
      </c>
      <c r="W146" s="1">
        <v>125</v>
      </c>
      <c r="X146" s="1">
        <v>122.3</v>
      </c>
      <c r="Y146" s="1">
        <v>113.7</v>
      </c>
      <c r="Z146" s="1">
        <v>121.8</v>
      </c>
      <c r="AA146" s="1">
        <v>132.30000000000001</v>
      </c>
      <c r="AB146" s="1">
        <v>119.9</v>
      </c>
      <c r="AC146" s="1">
        <v>121.4</v>
      </c>
      <c r="AD146" s="1">
        <v>127.6</v>
      </c>
    </row>
    <row r="147" spans="1:30" x14ac:dyDescent="0.3">
      <c r="A147" s="1" t="s">
        <v>34</v>
      </c>
      <c r="B147" s="1">
        <v>2016</v>
      </c>
      <c r="C147" s="1" t="s">
        <v>54</v>
      </c>
      <c r="D147" s="1">
        <v>132.30000000000001</v>
      </c>
      <c r="E147" s="1">
        <v>137.6</v>
      </c>
      <c r="F147" s="1">
        <v>132.9</v>
      </c>
      <c r="G147" s="1">
        <v>135.1</v>
      </c>
      <c r="H147" s="1">
        <v>118.6</v>
      </c>
      <c r="I147" s="1">
        <v>132.69999999999999</v>
      </c>
      <c r="J147" s="1">
        <v>125.3</v>
      </c>
      <c r="K147" s="1">
        <v>168.7</v>
      </c>
      <c r="L147" s="1">
        <v>114.4</v>
      </c>
      <c r="M147" s="1">
        <v>140.19999999999999</v>
      </c>
      <c r="N147" s="1">
        <v>126.6</v>
      </c>
      <c r="O147" s="1">
        <v>142.30000000000001</v>
      </c>
      <c r="P147" s="1">
        <v>134</v>
      </c>
      <c r="Q147" s="1">
        <v>143.1</v>
      </c>
      <c r="R147" s="1">
        <v>136.30000000000001</v>
      </c>
      <c r="S147" s="1">
        <v>129.80000000000001</v>
      </c>
      <c r="T147" s="1">
        <v>135.4</v>
      </c>
      <c r="U147" s="1" t="s">
        <v>90</v>
      </c>
      <c r="V147" s="1">
        <v>126.6</v>
      </c>
      <c r="W147" s="1">
        <v>129.19999999999999</v>
      </c>
      <c r="X147" s="1">
        <v>126.9</v>
      </c>
      <c r="Y147" s="1">
        <v>116</v>
      </c>
      <c r="Z147" s="1">
        <v>124.2</v>
      </c>
      <c r="AA147" s="1">
        <v>133.1</v>
      </c>
      <c r="AB147" s="1">
        <v>121.1</v>
      </c>
      <c r="AC147" s="1">
        <v>123.9</v>
      </c>
      <c r="AD147" s="1">
        <v>130.4</v>
      </c>
    </row>
    <row r="148" spans="1:30" x14ac:dyDescent="0.3">
      <c r="A148" s="1" t="s">
        <v>30</v>
      </c>
      <c r="B148" s="1">
        <v>2017</v>
      </c>
      <c r="C148" s="1" t="s">
        <v>31</v>
      </c>
      <c r="D148" s="1">
        <v>133.1</v>
      </c>
      <c r="E148" s="1">
        <v>137.80000000000001</v>
      </c>
      <c r="F148" s="1">
        <v>131.9</v>
      </c>
      <c r="G148" s="1">
        <v>136.69999999999999</v>
      </c>
      <c r="H148" s="1">
        <v>122</v>
      </c>
      <c r="I148" s="1">
        <v>136</v>
      </c>
      <c r="J148" s="1">
        <v>119.8</v>
      </c>
      <c r="K148" s="1">
        <v>161.69999999999999</v>
      </c>
      <c r="L148" s="1">
        <v>114.8</v>
      </c>
      <c r="M148" s="1">
        <v>136.9</v>
      </c>
      <c r="N148" s="1">
        <v>129</v>
      </c>
      <c r="O148" s="1">
        <v>143.9</v>
      </c>
      <c r="P148" s="1">
        <v>133.69999999999999</v>
      </c>
      <c r="Q148" s="1">
        <v>143.1</v>
      </c>
      <c r="R148" s="1">
        <v>140.69999999999999</v>
      </c>
      <c r="S148" s="1">
        <v>135.80000000000001</v>
      </c>
      <c r="T148" s="1">
        <v>140</v>
      </c>
      <c r="U148" s="1" t="s">
        <v>91</v>
      </c>
      <c r="V148" s="1">
        <v>132.1</v>
      </c>
      <c r="W148" s="1">
        <v>133.19999999999999</v>
      </c>
      <c r="X148" s="1">
        <v>129.9</v>
      </c>
      <c r="Y148" s="1">
        <v>119.1</v>
      </c>
      <c r="Z148" s="1">
        <v>127</v>
      </c>
      <c r="AA148" s="1">
        <v>134.6</v>
      </c>
      <c r="AB148" s="1">
        <v>122.3</v>
      </c>
      <c r="AC148" s="1">
        <v>126.6</v>
      </c>
      <c r="AD148" s="1">
        <v>132.4</v>
      </c>
    </row>
    <row r="149" spans="1:30" x14ac:dyDescent="0.3">
      <c r="A149" s="1" t="s">
        <v>32</v>
      </c>
      <c r="B149" s="1">
        <v>2017</v>
      </c>
      <c r="C149" s="1" t="s">
        <v>31</v>
      </c>
      <c r="D149" s="1">
        <v>132.19999999999999</v>
      </c>
      <c r="E149" s="1">
        <v>138.9</v>
      </c>
      <c r="F149" s="1">
        <v>132.6</v>
      </c>
      <c r="G149" s="1">
        <v>133.1</v>
      </c>
      <c r="H149" s="1">
        <v>114</v>
      </c>
      <c r="I149" s="1">
        <v>129.6</v>
      </c>
      <c r="J149" s="1">
        <v>118.7</v>
      </c>
      <c r="K149" s="1">
        <v>155.1</v>
      </c>
      <c r="L149" s="1">
        <v>117.3</v>
      </c>
      <c r="M149" s="1">
        <v>144.9</v>
      </c>
      <c r="N149" s="1">
        <v>123.2</v>
      </c>
      <c r="O149" s="1">
        <v>141.6</v>
      </c>
      <c r="P149" s="1">
        <v>132</v>
      </c>
      <c r="Q149" s="1">
        <v>145.6</v>
      </c>
      <c r="R149" s="1">
        <v>130.19999999999999</v>
      </c>
      <c r="S149" s="1">
        <v>122.3</v>
      </c>
      <c r="T149" s="1">
        <v>129</v>
      </c>
      <c r="U149" s="1" t="s">
        <v>91</v>
      </c>
      <c r="V149" s="1">
        <v>118</v>
      </c>
      <c r="W149" s="1">
        <v>125.1</v>
      </c>
      <c r="X149" s="1">
        <v>122.6</v>
      </c>
      <c r="Y149" s="1">
        <v>115.2</v>
      </c>
      <c r="Z149" s="1">
        <v>122</v>
      </c>
      <c r="AA149" s="1">
        <v>132.4</v>
      </c>
      <c r="AB149" s="1">
        <v>120.9</v>
      </c>
      <c r="AC149" s="1">
        <v>122.1</v>
      </c>
      <c r="AD149" s="1">
        <v>127.8</v>
      </c>
    </row>
    <row r="150" spans="1:30" x14ac:dyDescent="0.3">
      <c r="A150" s="1" t="s">
        <v>34</v>
      </c>
      <c r="B150" s="1">
        <v>2017</v>
      </c>
      <c r="C150" s="1" t="s">
        <v>31</v>
      </c>
      <c r="D150" s="1">
        <v>132.80000000000001</v>
      </c>
      <c r="E150" s="1">
        <v>138.19999999999999</v>
      </c>
      <c r="F150" s="1">
        <v>132.19999999999999</v>
      </c>
      <c r="G150" s="1">
        <v>135.4</v>
      </c>
      <c r="H150" s="1">
        <v>119.1</v>
      </c>
      <c r="I150" s="1">
        <v>133</v>
      </c>
      <c r="J150" s="1">
        <v>119.4</v>
      </c>
      <c r="K150" s="1">
        <v>159.5</v>
      </c>
      <c r="L150" s="1">
        <v>115.6</v>
      </c>
      <c r="M150" s="1">
        <v>139.6</v>
      </c>
      <c r="N150" s="1">
        <v>126.6</v>
      </c>
      <c r="O150" s="1">
        <v>142.80000000000001</v>
      </c>
      <c r="P150" s="1">
        <v>133.1</v>
      </c>
      <c r="Q150" s="1">
        <v>143.80000000000001</v>
      </c>
      <c r="R150" s="1">
        <v>136.6</v>
      </c>
      <c r="S150" s="1">
        <v>130.19999999999999</v>
      </c>
      <c r="T150" s="1">
        <v>135.6</v>
      </c>
      <c r="U150" s="1" t="s">
        <v>91</v>
      </c>
      <c r="V150" s="1">
        <v>126.8</v>
      </c>
      <c r="W150" s="1">
        <v>129.4</v>
      </c>
      <c r="X150" s="1">
        <v>127.1</v>
      </c>
      <c r="Y150" s="1">
        <v>117</v>
      </c>
      <c r="Z150" s="1">
        <v>124.2</v>
      </c>
      <c r="AA150" s="1">
        <v>133.30000000000001</v>
      </c>
      <c r="AB150" s="1">
        <v>121.7</v>
      </c>
      <c r="AC150" s="1">
        <v>124.4</v>
      </c>
      <c r="AD150" s="1">
        <v>130.30000000000001</v>
      </c>
    </row>
    <row r="151" spans="1:30" x14ac:dyDescent="0.3">
      <c r="A151" s="1" t="s">
        <v>30</v>
      </c>
      <c r="B151" s="1">
        <v>2017</v>
      </c>
      <c r="C151" s="1" t="s">
        <v>35</v>
      </c>
      <c r="D151" s="1">
        <v>133.30000000000001</v>
      </c>
      <c r="E151" s="1">
        <v>138.30000000000001</v>
      </c>
      <c r="F151" s="1">
        <v>129.30000000000001</v>
      </c>
      <c r="G151" s="1">
        <v>137.19999999999999</v>
      </c>
      <c r="H151" s="1">
        <v>122.1</v>
      </c>
      <c r="I151" s="1">
        <v>138.69999999999999</v>
      </c>
      <c r="J151" s="1">
        <v>119.1</v>
      </c>
      <c r="K151" s="1">
        <v>156.9</v>
      </c>
      <c r="L151" s="1">
        <v>116.2</v>
      </c>
      <c r="M151" s="1">
        <v>136</v>
      </c>
      <c r="N151" s="1">
        <v>129.4</v>
      </c>
      <c r="O151" s="1">
        <v>144.4</v>
      </c>
      <c r="P151" s="1">
        <v>133.6</v>
      </c>
      <c r="Q151" s="1">
        <v>143.69999999999999</v>
      </c>
      <c r="R151" s="1">
        <v>140.9</v>
      </c>
      <c r="S151" s="1">
        <v>135.80000000000001</v>
      </c>
      <c r="T151" s="1">
        <v>140.19999999999999</v>
      </c>
      <c r="U151" s="1" t="s">
        <v>92</v>
      </c>
      <c r="V151" s="1">
        <v>133.19999999999999</v>
      </c>
      <c r="W151" s="1">
        <v>133.6</v>
      </c>
      <c r="X151" s="1">
        <v>130.1</v>
      </c>
      <c r="Y151" s="1">
        <v>119.5</v>
      </c>
      <c r="Z151" s="1">
        <v>127.7</v>
      </c>
      <c r="AA151" s="1">
        <v>134.9</v>
      </c>
      <c r="AB151" s="1">
        <v>123.2</v>
      </c>
      <c r="AC151" s="1">
        <v>127</v>
      </c>
      <c r="AD151" s="1">
        <v>132.6</v>
      </c>
    </row>
    <row r="152" spans="1:30" x14ac:dyDescent="0.3">
      <c r="A152" s="1" t="s">
        <v>32</v>
      </c>
      <c r="B152" s="1">
        <v>2017</v>
      </c>
      <c r="C152" s="1" t="s">
        <v>35</v>
      </c>
      <c r="D152" s="1">
        <v>132.80000000000001</v>
      </c>
      <c r="E152" s="1">
        <v>139.80000000000001</v>
      </c>
      <c r="F152" s="1">
        <v>129.30000000000001</v>
      </c>
      <c r="G152" s="1">
        <v>133.5</v>
      </c>
      <c r="H152" s="1">
        <v>114.3</v>
      </c>
      <c r="I152" s="1">
        <v>131.4</v>
      </c>
      <c r="J152" s="1">
        <v>120.2</v>
      </c>
      <c r="K152" s="1">
        <v>143.1</v>
      </c>
      <c r="L152" s="1">
        <v>119.5</v>
      </c>
      <c r="M152" s="1">
        <v>144</v>
      </c>
      <c r="N152" s="1">
        <v>123.4</v>
      </c>
      <c r="O152" s="1">
        <v>141.9</v>
      </c>
      <c r="P152" s="1">
        <v>132.1</v>
      </c>
      <c r="Q152" s="1">
        <v>146.30000000000001</v>
      </c>
      <c r="R152" s="1">
        <v>130.5</v>
      </c>
      <c r="S152" s="1">
        <v>122.5</v>
      </c>
      <c r="T152" s="1">
        <v>129.30000000000001</v>
      </c>
      <c r="U152" s="1" t="s">
        <v>92</v>
      </c>
      <c r="V152" s="1">
        <v>119.2</v>
      </c>
      <c r="W152" s="1">
        <v>125.3</v>
      </c>
      <c r="X152" s="1">
        <v>122.9</v>
      </c>
      <c r="Y152" s="1">
        <v>115.5</v>
      </c>
      <c r="Z152" s="1">
        <v>122.2</v>
      </c>
      <c r="AA152" s="1">
        <v>132.4</v>
      </c>
      <c r="AB152" s="1">
        <v>121.7</v>
      </c>
      <c r="AC152" s="1">
        <v>122.4</v>
      </c>
      <c r="AD152" s="1">
        <v>128.19999999999999</v>
      </c>
    </row>
    <row r="153" spans="1:30" x14ac:dyDescent="0.3">
      <c r="A153" s="1" t="s">
        <v>34</v>
      </c>
      <c r="B153" s="1">
        <v>2017</v>
      </c>
      <c r="C153" s="1" t="s">
        <v>35</v>
      </c>
      <c r="D153" s="1">
        <v>133.1</v>
      </c>
      <c r="E153" s="1">
        <v>138.80000000000001</v>
      </c>
      <c r="F153" s="1">
        <v>129.30000000000001</v>
      </c>
      <c r="G153" s="1">
        <v>135.80000000000001</v>
      </c>
      <c r="H153" s="1">
        <v>119.2</v>
      </c>
      <c r="I153" s="1">
        <v>135.30000000000001</v>
      </c>
      <c r="J153" s="1">
        <v>119.5</v>
      </c>
      <c r="K153" s="1">
        <v>152.19999999999999</v>
      </c>
      <c r="L153" s="1">
        <v>117.3</v>
      </c>
      <c r="M153" s="1">
        <v>138.69999999999999</v>
      </c>
      <c r="N153" s="1">
        <v>126.9</v>
      </c>
      <c r="O153" s="1">
        <v>143.19999999999999</v>
      </c>
      <c r="P153" s="1">
        <v>133</v>
      </c>
      <c r="Q153" s="1">
        <v>144.4</v>
      </c>
      <c r="R153" s="1">
        <v>136.80000000000001</v>
      </c>
      <c r="S153" s="1">
        <v>130.30000000000001</v>
      </c>
      <c r="T153" s="1">
        <v>135.9</v>
      </c>
      <c r="U153" s="1" t="s">
        <v>92</v>
      </c>
      <c r="V153" s="1">
        <v>127.9</v>
      </c>
      <c r="W153" s="1">
        <v>129.69999999999999</v>
      </c>
      <c r="X153" s="1">
        <v>127.4</v>
      </c>
      <c r="Y153" s="1">
        <v>117.4</v>
      </c>
      <c r="Z153" s="1">
        <v>124.6</v>
      </c>
      <c r="AA153" s="1">
        <v>133.4</v>
      </c>
      <c r="AB153" s="1">
        <v>122.6</v>
      </c>
      <c r="AC153" s="1">
        <v>124.8</v>
      </c>
      <c r="AD153" s="1">
        <v>130.6</v>
      </c>
    </row>
    <row r="154" spans="1:30" x14ac:dyDescent="0.3">
      <c r="A154" s="1" t="s">
        <v>30</v>
      </c>
      <c r="B154" s="1">
        <v>2017</v>
      </c>
      <c r="C154" s="1" t="s">
        <v>37</v>
      </c>
      <c r="D154" s="1">
        <v>133.6</v>
      </c>
      <c r="E154" s="1">
        <v>138.80000000000001</v>
      </c>
      <c r="F154" s="1">
        <v>128.80000000000001</v>
      </c>
      <c r="G154" s="1">
        <v>137.19999999999999</v>
      </c>
      <c r="H154" s="1">
        <v>121.6</v>
      </c>
      <c r="I154" s="1">
        <v>139.69999999999999</v>
      </c>
      <c r="J154" s="1">
        <v>119.7</v>
      </c>
      <c r="K154" s="1">
        <v>148</v>
      </c>
      <c r="L154" s="1">
        <v>116.9</v>
      </c>
      <c r="M154" s="1">
        <v>135.6</v>
      </c>
      <c r="N154" s="1">
        <v>129.80000000000001</v>
      </c>
      <c r="O154" s="1">
        <v>145.4</v>
      </c>
      <c r="P154" s="1">
        <v>133.4</v>
      </c>
      <c r="Q154" s="1">
        <v>144.19999999999999</v>
      </c>
      <c r="R154" s="1">
        <v>141.6</v>
      </c>
      <c r="S154" s="1">
        <v>136.19999999999999</v>
      </c>
      <c r="T154" s="1">
        <v>140.80000000000001</v>
      </c>
      <c r="U154" s="1" t="s">
        <v>93</v>
      </c>
      <c r="V154" s="1">
        <v>134.19999999999999</v>
      </c>
      <c r="W154" s="1">
        <v>134.1</v>
      </c>
      <c r="X154" s="1">
        <v>130.6</v>
      </c>
      <c r="Y154" s="1">
        <v>119.8</v>
      </c>
      <c r="Z154" s="1">
        <v>128.30000000000001</v>
      </c>
      <c r="AA154" s="1">
        <v>135.19999999999999</v>
      </c>
      <c r="AB154" s="1">
        <v>123.3</v>
      </c>
      <c r="AC154" s="1">
        <v>127.4</v>
      </c>
      <c r="AD154" s="1">
        <v>132.80000000000001</v>
      </c>
    </row>
    <row r="155" spans="1:30" x14ac:dyDescent="0.3">
      <c r="A155" s="1" t="s">
        <v>32</v>
      </c>
      <c r="B155" s="1">
        <v>2017</v>
      </c>
      <c r="C155" s="1" t="s">
        <v>37</v>
      </c>
      <c r="D155" s="1">
        <v>132.69999999999999</v>
      </c>
      <c r="E155" s="1">
        <v>139.4</v>
      </c>
      <c r="F155" s="1">
        <v>128.4</v>
      </c>
      <c r="G155" s="1">
        <v>134.9</v>
      </c>
      <c r="H155" s="1">
        <v>114</v>
      </c>
      <c r="I155" s="1">
        <v>136.80000000000001</v>
      </c>
      <c r="J155" s="1">
        <v>122.2</v>
      </c>
      <c r="K155" s="1">
        <v>135.80000000000001</v>
      </c>
      <c r="L155" s="1">
        <v>120.3</v>
      </c>
      <c r="M155" s="1">
        <v>142.6</v>
      </c>
      <c r="N155" s="1">
        <v>123.6</v>
      </c>
      <c r="O155" s="1">
        <v>142.4</v>
      </c>
      <c r="P155" s="1">
        <v>132.6</v>
      </c>
      <c r="Q155" s="1">
        <v>147.5</v>
      </c>
      <c r="R155" s="1">
        <v>130.80000000000001</v>
      </c>
      <c r="S155" s="1">
        <v>122.8</v>
      </c>
      <c r="T155" s="1">
        <v>129.6</v>
      </c>
      <c r="U155" s="1" t="s">
        <v>93</v>
      </c>
      <c r="V155" s="1">
        <v>120.8</v>
      </c>
      <c r="W155" s="1">
        <v>125.6</v>
      </c>
      <c r="X155" s="1">
        <v>123.1</v>
      </c>
      <c r="Y155" s="1">
        <v>115.6</v>
      </c>
      <c r="Z155" s="1">
        <v>122.4</v>
      </c>
      <c r="AA155" s="1">
        <v>132.80000000000001</v>
      </c>
      <c r="AB155" s="1">
        <v>121.7</v>
      </c>
      <c r="AC155" s="1">
        <v>122.6</v>
      </c>
      <c r="AD155" s="1">
        <v>128.69999999999999</v>
      </c>
    </row>
    <row r="156" spans="1:30" x14ac:dyDescent="0.3">
      <c r="A156" s="1" t="s">
        <v>34</v>
      </c>
      <c r="B156" s="1">
        <v>2017</v>
      </c>
      <c r="C156" s="1" t="s">
        <v>37</v>
      </c>
      <c r="D156" s="1">
        <v>133.30000000000001</v>
      </c>
      <c r="E156" s="1">
        <v>139</v>
      </c>
      <c r="F156" s="1">
        <v>128.6</v>
      </c>
      <c r="G156" s="1">
        <v>136.30000000000001</v>
      </c>
      <c r="H156" s="1">
        <v>118.8</v>
      </c>
      <c r="I156" s="1">
        <v>138.30000000000001</v>
      </c>
      <c r="J156" s="1">
        <v>120.5</v>
      </c>
      <c r="K156" s="1">
        <v>143.9</v>
      </c>
      <c r="L156" s="1">
        <v>118</v>
      </c>
      <c r="M156" s="1">
        <v>137.9</v>
      </c>
      <c r="N156" s="1">
        <v>127.2</v>
      </c>
      <c r="O156" s="1">
        <v>144</v>
      </c>
      <c r="P156" s="1">
        <v>133.1</v>
      </c>
      <c r="Q156" s="1">
        <v>145.1</v>
      </c>
      <c r="R156" s="1">
        <v>137.30000000000001</v>
      </c>
      <c r="S156" s="1">
        <v>130.6</v>
      </c>
      <c r="T156" s="1">
        <v>136.4</v>
      </c>
      <c r="U156" s="1" t="s">
        <v>93</v>
      </c>
      <c r="V156" s="1">
        <v>129.1</v>
      </c>
      <c r="W156" s="1">
        <v>130.1</v>
      </c>
      <c r="X156" s="1">
        <v>127.8</v>
      </c>
      <c r="Y156" s="1">
        <v>117.6</v>
      </c>
      <c r="Z156" s="1">
        <v>125</v>
      </c>
      <c r="AA156" s="1">
        <v>133.80000000000001</v>
      </c>
      <c r="AB156" s="1">
        <v>122.6</v>
      </c>
      <c r="AC156" s="1">
        <v>125.1</v>
      </c>
      <c r="AD156" s="1">
        <v>130.9</v>
      </c>
    </row>
    <row r="157" spans="1:30" x14ac:dyDescent="0.3">
      <c r="A157" s="1" t="s">
        <v>30</v>
      </c>
      <c r="B157" s="1">
        <v>2017</v>
      </c>
      <c r="C157" s="1" t="s">
        <v>38</v>
      </c>
      <c r="D157" s="1">
        <v>133.19999999999999</v>
      </c>
      <c r="E157" s="1">
        <v>138.69999999999999</v>
      </c>
      <c r="F157" s="1">
        <v>127.1</v>
      </c>
      <c r="G157" s="1">
        <v>137.69999999999999</v>
      </c>
      <c r="H157" s="1">
        <v>121.3</v>
      </c>
      <c r="I157" s="1">
        <v>141.80000000000001</v>
      </c>
      <c r="J157" s="1">
        <v>121.5</v>
      </c>
      <c r="K157" s="1">
        <v>144.5</v>
      </c>
      <c r="L157" s="1">
        <v>117.4</v>
      </c>
      <c r="M157" s="1">
        <v>134.1</v>
      </c>
      <c r="N157" s="1">
        <v>130</v>
      </c>
      <c r="O157" s="1">
        <v>145.5</v>
      </c>
      <c r="P157" s="1">
        <v>133.5</v>
      </c>
      <c r="Q157" s="1">
        <v>144.4</v>
      </c>
      <c r="R157" s="1">
        <v>142.4</v>
      </c>
      <c r="S157" s="1">
        <v>136.80000000000001</v>
      </c>
      <c r="T157" s="1">
        <v>141.6</v>
      </c>
      <c r="U157" s="1" t="s">
        <v>94</v>
      </c>
      <c r="V157" s="1">
        <v>135</v>
      </c>
      <c r="W157" s="1">
        <v>134.30000000000001</v>
      </c>
      <c r="X157" s="1">
        <v>131</v>
      </c>
      <c r="Y157" s="1">
        <v>119.2</v>
      </c>
      <c r="Z157" s="1">
        <v>128.30000000000001</v>
      </c>
      <c r="AA157" s="1">
        <v>135.69999999999999</v>
      </c>
      <c r="AB157" s="1">
        <v>123.7</v>
      </c>
      <c r="AC157" s="1">
        <v>127.5</v>
      </c>
      <c r="AD157" s="1">
        <v>132.9</v>
      </c>
    </row>
    <row r="158" spans="1:30" x14ac:dyDescent="0.3">
      <c r="A158" s="1" t="s">
        <v>32</v>
      </c>
      <c r="B158" s="1">
        <v>2017</v>
      </c>
      <c r="C158" s="1" t="s">
        <v>38</v>
      </c>
      <c r="D158" s="1">
        <v>132.69999999999999</v>
      </c>
      <c r="E158" s="1">
        <v>140.6</v>
      </c>
      <c r="F158" s="1">
        <v>124.5</v>
      </c>
      <c r="G158" s="1">
        <v>136.30000000000001</v>
      </c>
      <c r="H158" s="1">
        <v>113.5</v>
      </c>
      <c r="I158" s="1">
        <v>137.69999999999999</v>
      </c>
      <c r="J158" s="1">
        <v>127.1</v>
      </c>
      <c r="K158" s="1">
        <v>133.80000000000001</v>
      </c>
      <c r="L158" s="1">
        <v>120.8</v>
      </c>
      <c r="M158" s="1">
        <v>141.30000000000001</v>
      </c>
      <c r="N158" s="1">
        <v>123.8</v>
      </c>
      <c r="O158" s="1">
        <v>142.6</v>
      </c>
      <c r="P158" s="1">
        <v>133.4</v>
      </c>
      <c r="Q158" s="1">
        <v>148</v>
      </c>
      <c r="R158" s="1">
        <v>131.19999999999999</v>
      </c>
      <c r="S158" s="1">
        <v>123</v>
      </c>
      <c r="T158" s="1">
        <v>130</v>
      </c>
      <c r="U158" s="1" t="s">
        <v>94</v>
      </c>
      <c r="V158" s="1">
        <v>121.4</v>
      </c>
      <c r="W158" s="1">
        <v>126</v>
      </c>
      <c r="X158" s="1">
        <v>123.4</v>
      </c>
      <c r="Y158" s="1">
        <v>114.3</v>
      </c>
      <c r="Z158" s="1">
        <v>122.6</v>
      </c>
      <c r="AA158" s="1">
        <v>133.6</v>
      </c>
      <c r="AB158" s="1">
        <v>122.2</v>
      </c>
      <c r="AC158" s="1">
        <v>122.5</v>
      </c>
      <c r="AD158" s="1">
        <v>129.1</v>
      </c>
    </row>
    <row r="159" spans="1:30" x14ac:dyDescent="0.3">
      <c r="A159" s="1" t="s">
        <v>34</v>
      </c>
      <c r="B159" s="1">
        <v>2017</v>
      </c>
      <c r="C159" s="1" t="s">
        <v>38</v>
      </c>
      <c r="D159" s="1">
        <v>133</v>
      </c>
      <c r="E159" s="1">
        <v>139.4</v>
      </c>
      <c r="F159" s="1">
        <v>126.1</v>
      </c>
      <c r="G159" s="1">
        <v>137.19999999999999</v>
      </c>
      <c r="H159" s="1">
        <v>118.4</v>
      </c>
      <c r="I159" s="1">
        <v>139.9</v>
      </c>
      <c r="J159" s="1">
        <v>123.4</v>
      </c>
      <c r="K159" s="1">
        <v>140.9</v>
      </c>
      <c r="L159" s="1">
        <v>118.5</v>
      </c>
      <c r="M159" s="1">
        <v>136.5</v>
      </c>
      <c r="N159" s="1">
        <v>127.4</v>
      </c>
      <c r="O159" s="1">
        <v>144.19999999999999</v>
      </c>
      <c r="P159" s="1">
        <v>133.5</v>
      </c>
      <c r="Q159" s="1">
        <v>145.4</v>
      </c>
      <c r="R159" s="1">
        <v>138</v>
      </c>
      <c r="S159" s="1">
        <v>131.1</v>
      </c>
      <c r="T159" s="1">
        <v>137</v>
      </c>
      <c r="U159" s="1" t="s">
        <v>94</v>
      </c>
      <c r="V159" s="1">
        <v>129.80000000000001</v>
      </c>
      <c r="W159" s="1">
        <v>130.4</v>
      </c>
      <c r="X159" s="1">
        <v>128.1</v>
      </c>
      <c r="Y159" s="1">
        <v>116.6</v>
      </c>
      <c r="Z159" s="1">
        <v>125.1</v>
      </c>
      <c r="AA159" s="1">
        <v>134.5</v>
      </c>
      <c r="AB159" s="1">
        <v>123.1</v>
      </c>
      <c r="AC159" s="1">
        <v>125.1</v>
      </c>
      <c r="AD159" s="1">
        <v>131.1</v>
      </c>
    </row>
    <row r="160" spans="1:30" x14ac:dyDescent="0.3">
      <c r="A160" s="1" t="s">
        <v>30</v>
      </c>
      <c r="B160" s="1">
        <v>2017</v>
      </c>
      <c r="C160" s="1" t="s">
        <v>40</v>
      </c>
      <c r="D160" s="1">
        <v>133.1</v>
      </c>
      <c r="E160" s="1">
        <v>140.30000000000001</v>
      </c>
      <c r="F160" s="1">
        <v>126.8</v>
      </c>
      <c r="G160" s="1">
        <v>138.19999999999999</v>
      </c>
      <c r="H160" s="1">
        <v>120.8</v>
      </c>
      <c r="I160" s="1">
        <v>140.19999999999999</v>
      </c>
      <c r="J160" s="1">
        <v>123.8</v>
      </c>
      <c r="K160" s="1">
        <v>141.80000000000001</v>
      </c>
      <c r="L160" s="1">
        <v>118.6</v>
      </c>
      <c r="M160" s="1">
        <v>134</v>
      </c>
      <c r="N160" s="1">
        <v>130.30000000000001</v>
      </c>
      <c r="O160" s="1">
        <v>145.80000000000001</v>
      </c>
      <c r="P160" s="1">
        <v>133.80000000000001</v>
      </c>
      <c r="Q160" s="1">
        <v>145.5</v>
      </c>
      <c r="R160" s="1">
        <v>142.5</v>
      </c>
      <c r="S160" s="1">
        <v>137.30000000000001</v>
      </c>
      <c r="T160" s="1">
        <v>141.80000000000001</v>
      </c>
      <c r="U160" s="1" t="s">
        <v>95</v>
      </c>
      <c r="V160" s="1">
        <v>135</v>
      </c>
      <c r="W160" s="1">
        <v>134.9</v>
      </c>
      <c r="X160" s="1">
        <v>131.4</v>
      </c>
      <c r="Y160" s="1">
        <v>119.4</v>
      </c>
      <c r="Z160" s="1">
        <v>129.4</v>
      </c>
      <c r="AA160" s="1">
        <v>136.30000000000001</v>
      </c>
      <c r="AB160" s="1">
        <v>123.7</v>
      </c>
      <c r="AC160" s="1">
        <v>127.9</v>
      </c>
      <c r="AD160" s="1">
        <v>133.30000000000001</v>
      </c>
    </row>
    <row r="161" spans="1:30" x14ac:dyDescent="0.3">
      <c r="A161" s="1" t="s">
        <v>32</v>
      </c>
      <c r="B161" s="1">
        <v>2017</v>
      </c>
      <c r="C161" s="1" t="s">
        <v>40</v>
      </c>
      <c r="D161" s="1">
        <v>132.6</v>
      </c>
      <c r="E161" s="1">
        <v>144.1</v>
      </c>
      <c r="F161" s="1">
        <v>125.6</v>
      </c>
      <c r="G161" s="1">
        <v>136.80000000000001</v>
      </c>
      <c r="H161" s="1">
        <v>113.4</v>
      </c>
      <c r="I161" s="1">
        <v>135.19999999999999</v>
      </c>
      <c r="J161" s="1">
        <v>129.19999999999999</v>
      </c>
      <c r="K161" s="1">
        <v>131.5</v>
      </c>
      <c r="L161" s="1">
        <v>121</v>
      </c>
      <c r="M161" s="1">
        <v>139.9</v>
      </c>
      <c r="N161" s="1">
        <v>123.8</v>
      </c>
      <c r="O161" s="1">
        <v>142.9</v>
      </c>
      <c r="P161" s="1">
        <v>133.6</v>
      </c>
      <c r="Q161" s="1">
        <v>148.30000000000001</v>
      </c>
      <c r="R161" s="1">
        <v>131.5</v>
      </c>
      <c r="S161" s="1">
        <v>123.2</v>
      </c>
      <c r="T161" s="1">
        <v>130.19999999999999</v>
      </c>
      <c r="U161" s="1" t="s">
        <v>95</v>
      </c>
      <c r="V161" s="1">
        <v>120.1</v>
      </c>
      <c r="W161" s="1">
        <v>126.5</v>
      </c>
      <c r="X161" s="1">
        <v>123.6</v>
      </c>
      <c r="Y161" s="1">
        <v>114.3</v>
      </c>
      <c r="Z161" s="1">
        <v>122.8</v>
      </c>
      <c r="AA161" s="1">
        <v>133.80000000000001</v>
      </c>
      <c r="AB161" s="1">
        <v>122</v>
      </c>
      <c r="AC161" s="1">
        <v>122.6</v>
      </c>
      <c r="AD161" s="1">
        <v>129.30000000000001</v>
      </c>
    </row>
    <row r="162" spans="1:30" x14ac:dyDescent="0.3">
      <c r="A162" s="1" t="s">
        <v>34</v>
      </c>
      <c r="B162" s="1">
        <v>2017</v>
      </c>
      <c r="C162" s="1" t="s">
        <v>40</v>
      </c>
      <c r="D162" s="1">
        <v>132.9</v>
      </c>
      <c r="E162" s="1">
        <v>141.6</v>
      </c>
      <c r="F162" s="1">
        <v>126.3</v>
      </c>
      <c r="G162" s="1">
        <v>137.69999999999999</v>
      </c>
      <c r="H162" s="1">
        <v>118.1</v>
      </c>
      <c r="I162" s="1">
        <v>137.9</v>
      </c>
      <c r="J162" s="1">
        <v>125.6</v>
      </c>
      <c r="K162" s="1">
        <v>138.30000000000001</v>
      </c>
      <c r="L162" s="1">
        <v>119.4</v>
      </c>
      <c r="M162" s="1">
        <v>136</v>
      </c>
      <c r="N162" s="1">
        <v>127.6</v>
      </c>
      <c r="O162" s="1">
        <v>144.5</v>
      </c>
      <c r="P162" s="1">
        <v>133.69999999999999</v>
      </c>
      <c r="Q162" s="1">
        <v>146.19999999999999</v>
      </c>
      <c r="R162" s="1">
        <v>138.19999999999999</v>
      </c>
      <c r="S162" s="1">
        <v>131.4</v>
      </c>
      <c r="T162" s="1">
        <v>137.19999999999999</v>
      </c>
      <c r="U162" s="1" t="s">
        <v>95</v>
      </c>
      <c r="V162" s="1">
        <v>129.4</v>
      </c>
      <c r="W162" s="1">
        <v>130.9</v>
      </c>
      <c r="X162" s="1">
        <v>128.4</v>
      </c>
      <c r="Y162" s="1">
        <v>116.7</v>
      </c>
      <c r="Z162" s="1">
        <v>125.7</v>
      </c>
      <c r="AA162" s="1">
        <v>134.80000000000001</v>
      </c>
      <c r="AB162" s="1">
        <v>123</v>
      </c>
      <c r="AC162" s="1">
        <v>125.3</v>
      </c>
      <c r="AD162" s="1">
        <v>131.4</v>
      </c>
    </row>
    <row r="163" spans="1:30" x14ac:dyDescent="0.3">
      <c r="A163" s="1" t="s">
        <v>30</v>
      </c>
      <c r="B163" s="1">
        <v>2017</v>
      </c>
      <c r="C163" s="1" t="s">
        <v>41</v>
      </c>
      <c r="D163" s="1">
        <v>133.5</v>
      </c>
      <c r="E163" s="1">
        <v>143.69999999999999</v>
      </c>
      <c r="F163" s="1">
        <v>128</v>
      </c>
      <c r="G163" s="1">
        <v>138.6</v>
      </c>
      <c r="H163" s="1">
        <v>120.9</v>
      </c>
      <c r="I163" s="1">
        <v>140.9</v>
      </c>
      <c r="J163" s="1">
        <v>128.80000000000001</v>
      </c>
      <c r="K163" s="1">
        <v>140.19999999999999</v>
      </c>
      <c r="L163" s="1">
        <v>118.9</v>
      </c>
      <c r="M163" s="1">
        <v>133.5</v>
      </c>
      <c r="N163" s="1">
        <v>130.4</v>
      </c>
      <c r="O163" s="1">
        <v>146.5</v>
      </c>
      <c r="P163" s="1">
        <v>134.9</v>
      </c>
      <c r="Q163" s="1">
        <v>145.80000000000001</v>
      </c>
      <c r="R163" s="1">
        <v>143.1</v>
      </c>
      <c r="S163" s="1">
        <v>137.69999999999999</v>
      </c>
      <c r="T163" s="1">
        <v>142.30000000000001</v>
      </c>
      <c r="U163" s="1" t="s">
        <v>96</v>
      </c>
      <c r="V163" s="1">
        <v>134.80000000000001</v>
      </c>
      <c r="W163" s="1">
        <v>135.19999999999999</v>
      </c>
      <c r="X163" s="1">
        <v>131.30000000000001</v>
      </c>
      <c r="Y163" s="1">
        <v>119.4</v>
      </c>
      <c r="Z163" s="1">
        <v>129.80000000000001</v>
      </c>
      <c r="AA163" s="1">
        <v>136.9</v>
      </c>
      <c r="AB163" s="1">
        <v>124.1</v>
      </c>
      <c r="AC163" s="1">
        <v>128.1</v>
      </c>
      <c r="AD163" s="1">
        <v>133.9</v>
      </c>
    </row>
    <row r="164" spans="1:30" x14ac:dyDescent="0.3">
      <c r="A164" s="1" t="s">
        <v>32</v>
      </c>
      <c r="B164" s="1">
        <v>2017</v>
      </c>
      <c r="C164" s="1" t="s">
        <v>41</v>
      </c>
      <c r="D164" s="1">
        <v>132.9</v>
      </c>
      <c r="E164" s="1">
        <v>148.69999999999999</v>
      </c>
      <c r="F164" s="1">
        <v>128.30000000000001</v>
      </c>
      <c r="G164" s="1">
        <v>137.30000000000001</v>
      </c>
      <c r="H164" s="1">
        <v>113.5</v>
      </c>
      <c r="I164" s="1">
        <v>137.19999999999999</v>
      </c>
      <c r="J164" s="1">
        <v>142.19999999999999</v>
      </c>
      <c r="K164" s="1">
        <v>128.19999999999999</v>
      </c>
      <c r="L164" s="1">
        <v>120.9</v>
      </c>
      <c r="M164" s="1">
        <v>138.80000000000001</v>
      </c>
      <c r="N164" s="1">
        <v>124.2</v>
      </c>
      <c r="O164" s="1">
        <v>143.1</v>
      </c>
      <c r="P164" s="1">
        <v>135.69999999999999</v>
      </c>
      <c r="Q164" s="1">
        <v>148.6</v>
      </c>
      <c r="R164" s="1">
        <v>131.5</v>
      </c>
      <c r="S164" s="1">
        <v>123.2</v>
      </c>
      <c r="T164" s="1">
        <v>130.19999999999999</v>
      </c>
      <c r="U164" s="1" t="s">
        <v>96</v>
      </c>
      <c r="V164" s="1">
        <v>119</v>
      </c>
      <c r="W164" s="1">
        <v>126.8</v>
      </c>
      <c r="X164" s="1">
        <v>123.8</v>
      </c>
      <c r="Y164" s="1">
        <v>113.9</v>
      </c>
      <c r="Z164" s="1">
        <v>122.9</v>
      </c>
      <c r="AA164" s="1">
        <v>134.30000000000001</v>
      </c>
      <c r="AB164" s="1">
        <v>122.5</v>
      </c>
      <c r="AC164" s="1">
        <v>122.7</v>
      </c>
      <c r="AD164" s="1">
        <v>129.9</v>
      </c>
    </row>
    <row r="165" spans="1:30" x14ac:dyDescent="0.3">
      <c r="A165" s="1" t="s">
        <v>34</v>
      </c>
      <c r="B165" s="1">
        <v>2017</v>
      </c>
      <c r="C165" s="1" t="s">
        <v>41</v>
      </c>
      <c r="D165" s="1">
        <v>133.30000000000001</v>
      </c>
      <c r="E165" s="1">
        <v>145.5</v>
      </c>
      <c r="F165" s="1">
        <v>128.1</v>
      </c>
      <c r="G165" s="1">
        <v>138.1</v>
      </c>
      <c r="H165" s="1">
        <v>118.2</v>
      </c>
      <c r="I165" s="1">
        <v>139.19999999999999</v>
      </c>
      <c r="J165" s="1">
        <v>133.30000000000001</v>
      </c>
      <c r="K165" s="1">
        <v>136.19999999999999</v>
      </c>
      <c r="L165" s="1">
        <v>119.6</v>
      </c>
      <c r="M165" s="1">
        <v>135.30000000000001</v>
      </c>
      <c r="N165" s="1">
        <v>127.8</v>
      </c>
      <c r="O165" s="1">
        <v>144.9</v>
      </c>
      <c r="P165" s="1">
        <v>135.19999999999999</v>
      </c>
      <c r="Q165" s="1">
        <v>146.5</v>
      </c>
      <c r="R165" s="1">
        <v>138.5</v>
      </c>
      <c r="S165" s="1">
        <v>131.69999999999999</v>
      </c>
      <c r="T165" s="1">
        <v>137.5</v>
      </c>
      <c r="U165" s="1" t="s">
        <v>96</v>
      </c>
      <c r="V165" s="1">
        <v>128.80000000000001</v>
      </c>
      <c r="W165" s="1">
        <v>131.19999999999999</v>
      </c>
      <c r="X165" s="1">
        <v>128.5</v>
      </c>
      <c r="Y165" s="1">
        <v>116.5</v>
      </c>
      <c r="Z165" s="1">
        <v>125.9</v>
      </c>
      <c r="AA165" s="1">
        <v>135.4</v>
      </c>
      <c r="AB165" s="1">
        <v>123.4</v>
      </c>
      <c r="AC165" s="1">
        <v>125.5</v>
      </c>
      <c r="AD165" s="1">
        <v>132</v>
      </c>
    </row>
    <row r="166" spans="1:30" x14ac:dyDescent="0.3">
      <c r="A166" s="1" t="s">
        <v>30</v>
      </c>
      <c r="B166" s="1">
        <v>2017</v>
      </c>
      <c r="C166" s="1" t="s">
        <v>43</v>
      </c>
      <c r="D166" s="1">
        <v>134</v>
      </c>
      <c r="E166" s="1">
        <v>144.19999999999999</v>
      </c>
      <c r="F166" s="1">
        <v>129.80000000000001</v>
      </c>
      <c r="G166" s="1">
        <v>139</v>
      </c>
      <c r="H166" s="1">
        <v>120.9</v>
      </c>
      <c r="I166" s="1">
        <v>143.9</v>
      </c>
      <c r="J166" s="1">
        <v>151.5</v>
      </c>
      <c r="K166" s="1">
        <v>138.1</v>
      </c>
      <c r="L166" s="1">
        <v>120</v>
      </c>
      <c r="M166" s="1">
        <v>133.9</v>
      </c>
      <c r="N166" s="1">
        <v>131.4</v>
      </c>
      <c r="O166" s="1">
        <v>147.69999999999999</v>
      </c>
      <c r="P166" s="1">
        <v>138.5</v>
      </c>
      <c r="Q166" s="1">
        <v>147.4</v>
      </c>
      <c r="R166" s="1">
        <v>144.30000000000001</v>
      </c>
      <c r="S166" s="1">
        <v>138.1</v>
      </c>
      <c r="T166" s="1">
        <v>143.5</v>
      </c>
      <c r="U166" s="1" t="s">
        <v>97</v>
      </c>
      <c r="V166" s="1">
        <v>135.30000000000001</v>
      </c>
      <c r="W166" s="1">
        <v>136.1</v>
      </c>
      <c r="X166" s="1">
        <v>132.1</v>
      </c>
      <c r="Y166" s="1">
        <v>119.1</v>
      </c>
      <c r="Z166" s="1">
        <v>130.6</v>
      </c>
      <c r="AA166" s="1">
        <v>138.6</v>
      </c>
      <c r="AB166" s="1">
        <v>124.4</v>
      </c>
      <c r="AC166" s="1">
        <v>128.6</v>
      </c>
      <c r="AD166" s="1">
        <v>136.19999999999999</v>
      </c>
    </row>
    <row r="167" spans="1:30" x14ac:dyDescent="0.3">
      <c r="A167" s="1" t="s">
        <v>32</v>
      </c>
      <c r="B167" s="1">
        <v>2017</v>
      </c>
      <c r="C167" s="1" t="s">
        <v>43</v>
      </c>
      <c r="D167" s="1">
        <v>132.80000000000001</v>
      </c>
      <c r="E167" s="1">
        <v>148.4</v>
      </c>
      <c r="F167" s="1">
        <v>129.4</v>
      </c>
      <c r="G167" s="1">
        <v>137.69999999999999</v>
      </c>
      <c r="H167" s="1">
        <v>113.4</v>
      </c>
      <c r="I167" s="1">
        <v>139.4</v>
      </c>
      <c r="J167" s="1">
        <v>175.1</v>
      </c>
      <c r="K167" s="1">
        <v>124.7</v>
      </c>
      <c r="L167" s="1">
        <v>121.5</v>
      </c>
      <c r="M167" s="1">
        <v>137.80000000000001</v>
      </c>
      <c r="N167" s="1">
        <v>124.4</v>
      </c>
      <c r="O167" s="1">
        <v>143.69999999999999</v>
      </c>
      <c r="P167" s="1">
        <v>139.80000000000001</v>
      </c>
      <c r="Q167" s="1">
        <v>150.5</v>
      </c>
      <c r="R167" s="1">
        <v>131.6</v>
      </c>
      <c r="S167" s="1">
        <v>123.7</v>
      </c>
      <c r="T167" s="1">
        <v>130.4</v>
      </c>
      <c r="U167" s="1" t="s">
        <v>97</v>
      </c>
      <c r="V167" s="1">
        <v>119.7</v>
      </c>
      <c r="W167" s="1">
        <v>127.2</v>
      </c>
      <c r="X167" s="1">
        <v>125</v>
      </c>
      <c r="Y167" s="1">
        <v>113.2</v>
      </c>
      <c r="Z167" s="1">
        <v>123.5</v>
      </c>
      <c r="AA167" s="1">
        <v>135.5</v>
      </c>
      <c r="AB167" s="1">
        <v>122.4</v>
      </c>
      <c r="AC167" s="1">
        <v>123</v>
      </c>
      <c r="AD167" s="1">
        <v>131.80000000000001</v>
      </c>
    </row>
    <row r="168" spans="1:30" x14ac:dyDescent="0.3">
      <c r="A168" s="1" t="s">
        <v>34</v>
      </c>
      <c r="B168" s="1">
        <v>2017</v>
      </c>
      <c r="C168" s="1" t="s">
        <v>43</v>
      </c>
      <c r="D168" s="1">
        <v>133.6</v>
      </c>
      <c r="E168" s="1">
        <v>145.69999999999999</v>
      </c>
      <c r="F168" s="1">
        <v>129.6</v>
      </c>
      <c r="G168" s="1">
        <v>138.5</v>
      </c>
      <c r="H168" s="1">
        <v>118.1</v>
      </c>
      <c r="I168" s="1">
        <v>141.80000000000001</v>
      </c>
      <c r="J168" s="1">
        <v>159.5</v>
      </c>
      <c r="K168" s="1">
        <v>133.6</v>
      </c>
      <c r="L168" s="1">
        <v>120.5</v>
      </c>
      <c r="M168" s="1">
        <v>135.19999999999999</v>
      </c>
      <c r="N168" s="1">
        <v>128.5</v>
      </c>
      <c r="O168" s="1">
        <v>145.80000000000001</v>
      </c>
      <c r="P168" s="1">
        <v>139</v>
      </c>
      <c r="Q168" s="1">
        <v>148.19999999999999</v>
      </c>
      <c r="R168" s="1">
        <v>139.30000000000001</v>
      </c>
      <c r="S168" s="1">
        <v>132.1</v>
      </c>
      <c r="T168" s="1">
        <v>138.30000000000001</v>
      </c>
      <c r="U168" s="1" t="s">
        <v>97</v>
      </c>
      <c r="V168" s="1">
        <v>129.4</v>
      </c>
      <c r="W168" s="1">
        <v>131.9</v>
      </c>
      <c r="X168" s="1">
        <v>129.4</v>
      </c>
      <c r="Y168" s="1">
        <v>116</v>
      </c>
      <c r="Z168" s="1">
        <v>126.6</v>
      </c>
      <c r="AA168" s="1">
        <v>136.80000000000001</v>
      </c>
      <c r="AB168" s="1">
        <v>123.6</v>
      </c>
      <c r="AC168" s="1">
        <v>125.9</v>
      </c>
      <c r="AD168" s="1">
        <v>134.19999999999999</v>
      </c>
    </row>
    <row r="169" spans="1:30" x14ac:dyDescent="0.3">
      <c r="A169" s="1" t="s">
        <v>30</v>
      </c>
      <c r="B169" s="1">
        <v>2017</v>
      </c>
      <c r="C169" s="1" t="s">
        <v>45</v>
      </c>
      <c r="D169" s="1">
        <v>134.80000000000001</v>
      </c>
      <c r="E169" s="1">
        <v>143.1</v>
      </c>
      <c r="F169" s="1">
        <v>130</v>
      </c>
      <c r="G169" s="1">
        <v>139.4</v>
      </c>
      <c r="H169" s="1">
        <v>120.5</v>
      </c>
      <c r="I169" s="1">
        <v>148</v>
      </c>
      <c r="J169" s="1">
        <v>162.9</v>
      </c>
      <c r="K169" s="1">
        <v>137.4</v>
      </c>
      <c r="L169" s="1">
        <v>120.8</v>
      </c>
      <c r="M169" s="1">
        <v>134.69999999999999</v>
      </c>
      <c r="N169" s="1">
        <v>131.6</v>
      </c>
      <c r="O169" s="1">
        <v>148.69999999999999</v>
      </c>
      <c r="P169" s="1">
        <v>140.6</v>
      </c>
      <c r="Q169" s="1">
        <v>149</v>
      </c>
      <c r="R169" s="1">
        <v>145.30000000000001</v>
      </c>
      <c r="S169" s="1">
        <v>139.19999999999999</v>
      </c>
      <c r="T169" s="1">
        <v>144.5</v>
      </c>
      <c r="U169" s="1" t="s">
        <v>98</v>
      </c>
      <c r="V169" s="1">
        <v>136.4</v>
      </c>
      <c r="W169" s="1">
        <v>137.30000000000001</v>
      </c>
      <c r="X169" s="1">
        <v>133</v>
      </c>
      <c r="Y169" s="1">
        <v>120.3</v>
      </c>
      <c r="Z169" s="1">
        <v>131.5</v>
      </c>
      <c r="AA169" s="1">
        <v>140.19999999999999</v>
      </c>
      <c r="AB169" s="1">
        <v>125.4</v>
      </c>
      <c r="AC169" s="1">
        <v>129.69999999999999</v>
      </c>
      <c r="AD169" s="1">
        <v>137.80000000000001</v>
      </c>
    </row>
    <row r="170" spans="1:30" x14ac:dyDescent="0.3">
      <c r="A170" s="1" t="s">
        <v>32</v>
      </c>
      <c r="B170" s="1">
        <v>2017</v>
      </c>
      <c r="C170" s="1" t="s">
        <v>45</v>
      </c>
      <c r="D170" s="1">
        <v>133.19999999999999</v>
      </c>
      <c r="E170" s="1">
        <v>143.9</v>
      </c>
      <c r="F170" s="1">
        <v>128.30000000000001</v>
      </c>
      <c r="G170" s="1">
        <v>138.30000000000001</v>
      </c>
      <c r="H170" s="1">
        <v>114.1</v>
      </c>
      <c r="I170" s="1">
        <v>142.69999999999999</v>
      </c>
      <c r="J170" s="1">
        <v>179.8</v>
      </c>
      <c r="K170" s="1">
        <v>123.5</v>
      </c>
      <c r="L170" s="1">
        <v>122.1</v>
      </c>
      <c r="M170" s="1">
        <v>137.5</v>
      </c>
      <c r="N170" s="1">
        <v>124.6</v>
      </c>
      <c r="O170" s="1">
        <v>144.5</v>
      </c>
      <c r="P170" s="1">
        <v>140.5</v>
      </c>
      <c r="Q170" s="1">
        <v>152.1</v>
      </c>
      <c r="R170" s="1">
        <v>132.69999999999999</v>
      </c>
      <c r="S170" s="1">
        <v>124.3</v>
      </c>
      <c r="T170" s="1">
        <v>131.4</v>
      </c>
      <c r="U170" s="1" t="s">
        <v>98</v>
      </c>
      <c r="V170" s="1">
        <v>118.9</v>
      </c>
      <c r="W170" s="1">
        <v>127.7</v>
      </c>
      <c r="X170" s="1">
        <v>125.7</v>
      </c>
      <c r="Y170" s="1">
        <v>114.6</v>
      </c>
      <c r="Z170" s="1">
        <v>124.1</v>
      </c>
      <c r="AA170" s="1">
        <v>135.69999999999999</v>
      </c>
      <c r="AB170" s="1">
        <v>123.3</v>
      </c>
      <c r="AC170" s="1">
        <v>123.8</v>
      </c>
      <c r="AD170" s="1">
        <v>132.69999999999999</v>
      </c>
    </row>
    <row r="171" spans="1:30" x14ac:dyDescent="0.3">
      <c r="A171" s="1" t="s">
        <v>34</v>
      </c>
      <c r="B171" s="1">
        <v>2017</v>
      </c>
      <c r="C171" s="1" t="s">
        <v>45</v>
      </c>
      <c r="D171" s="1">
        <v>134.30000000000001</v>
      </c>
      <c r="E171" s="1">
        <v>143.4</v>
      </c>
      <c r="F171" s="1">
        <v>129.30000000000001</v>
      </c>
      <c r="G171" s="1">
        <v>139</v>
      </c>
      <c r="H171" s="1">
        <v>118.1</v>
      </c>
      <c r="I171" s="1">
        <v>145.5</v>
      </c>
      <c r="J171" s="1">
        <v>168.6</v>
      </c>
      <c r="K171" s="1">
        <v>132.69999999999999</v>
      </c>
      <c r="L171" s="1">
        <v>121.2</v>
      </c>
      <c r="M171" s="1">
        <v>135.6</v>
      </c>
      <c r="N171" s="1">
        <v>128.69999999999999</v>
      </c>
      <c r="O171" s="1">
        <v>146.80000000000001</v>
      </c>
      <c r="P171" s="1">
        <v>140.6</v>
      </c>
      <c r="Q171" s="1">
        <v>149.80000000000001</v>
      </c>
      <c r="R171" s="1">
        <v>140.30000000000001</v>
      </c>
      <c r="S171" s="1">
        <v>133</v>
      </c>
      <c r="T171" s="1">
        <v>139.30000000000001</v>
      </c>
      <c r="U171" s="1" t="s">
        <v>98</v>
      </c>
      <c r="V171" s="1">
        <v>129.80000000000001</v>
      </c>
      <c r="W171" s="1">
        <v>132.80000000000001</v>
      </c>
      <c r="X171" s="1">
        <v>130.19999999999999</v>
      </c>
      <c r="Y171" s="1">
        <v>117.3</v>
      </c>
      <c r="Z171" s="1">
        <v>127.3</v>
      </c>
      <c r="AA171" s="1">
        <v>137.6</v>
      </c>
      <c r="AB171" s="1">
        <v>124.5</v>
      </c>
      <c r="AC171" s="1">
        <v>126.8</v>
      </c>
      <c r="AD171" s="1">
        <v>135.4</v>
      </c>
    </row>
    <row r="172" spans="1:30" x14ac:dyDescent="0.3">
      <c r="A172" s="1" t="s">
        <v>30</v>
      </c>
      <c r="B172" s="1">
        <v>2017</v>
      </c>
      <c r="C172" s="1" t="s">
        <v>47</v>
      </c>
      <c r="D172" s="1">
        <v>135.19999999999999</v>
      </c>
      <c r="E172" s="1">
        <v>142</v>
      </c>
      <c r="F172" s="1">
        <v>130.5</v>
      </c>
      <c r="G172" s="1">
        <v>140.19999999999999</v>
      </c>
      <c r="H172" s="1">
        <v>120.7</v>
      </c>
      <c r="I172" s="1">
        <v>147.80000000000001</v>
      </c>
      <c r="J172" s="1">
        <v>154.5</v>
      </c>
      <c r="K172" s="1">
        <v>137.1</v>
      </c>
      <c r="L172" s="1">
        <v>121</v>
      </c>
      <c r="M172" s="1">
        <v>134.69999999999999</v>
      </c>
      <c r="N172" s="1">
        <v>131.69999999999999</v>
      </c>
      <c r="O172" s="1">
        <v>149.30000000000001</v>
      </c>
      <c r="P172" s="1">
        <v>139.6</v>
      </c>
      <c r="Q172" s="1">
        <v>149.80000000000001</v>
      </c>
      <c r="R172" s="1">
        <v>146.1</v>
      </c>
      <c r="S172" s="1">
        <v>139.69999999999999</v>
      </c>
      <c r="T172" s="1">
        <v>145.19999999999999</v>
      </c>
      <c r="U172" s="1" t="s">
        <v>99</v>
      </c>
      <c r="V172" s="1">
        <v>137.4</v>
      </c>
      <c r="W172" s="1">
        <v>137.9</v>
      </c>
      <c r="X172" s="1">
        <v>133.4</v>
      </c>
      <c r="Y172" s="1">
        <v>121.2</v>
      </c>
      <c r="Z172" s="1">
        <v>132.30000000000001</v>
      </c>
      <c r="AA172" s="1">
        <v>139.6</v>
      </c>
      <c r="AB172" s="1">
        <v>126.7</v>
      </c>
      <c r="AC172" s="1">
        <v>130.30000000000001</v>
      </c>
      <c r="AD172" s="1">
        <v>137.6</v>
      </c>
    </row>
    <row r="173" spans="1:30" x14ac:dyDescent="0.3">
      <c r="A173" s="1" t="s">
        <v>32</v>
      </c>
      <c r="B173" s="1">
        <v>2017</v>
      </c>
      <c r="C173" s="1" t="s">
        <v>47</v>
      </c>
      <c r="D173" s="1">
        <v>133.6</v>
      </c>
      <c r="E173" s="1">
        <v>143</v>
      </c>
      <c r="F173" s="1">
        <v>129.69999999999999</v>
      </c>
      <c r="G173" s="1">
        <v>138.69999999999999</v>
      </c>
      <c r="H173" s="1">
        <v>114.5</v>
      </c>
      <c r="I173" s="1">
        <v>137.5</v>
      </c>
      <c r="J173" s="1">
        <v>160.69999999999999</v>
      </c>
      <c r="K173" s="1">
        <v>124.5</v>
      </c>
      <c r="L173" s="1">
        <v>122.4</v>
      </c>
      <c r="M173" s="1">
        <v>137.30000000000001</v>
      </c>
      <c r="N173" s="1">
        <v>124.8</v>
      </c>
      <c r="O173" s="1">
        <v>145</v>
      </c>
      <c r="P173" s="1">
        <v>138</v>
      </c>
      <c r="Q173" s="1">
        <v>153.6</v>
      </c>
      <c r="R173" s="1">
        <v>133.30000000000001</v>
      </c>
      <c r="S173" s="1">
        <v>124.6</v>
      </c>
      <c r="T173" s="1">
        <v>132</v>
      </c>
      <c r="U173" s="1" t="s">
        <v>99</v>
      </c>
      <c r="V173" s="1">
        <v>120.6</v>
      </c>
      <c r="W173" s="1">
        <v>128.1</v>
      </c>
      <c r="X173" s="1">
        <v>126.1</v>
      </c>
      <c r="Y173" s="1">
        <v>115.7</v>
      </c>
      <c r="Z173" s="1">
        <v>124.5</v>
      </c>
      <c r="AA173" s="1">
        <v>135.9</v>
      </c>
      <c r="AB173" s="1">
        <v>124.4</v>
      </c>
      <c r="AC173" s="1">
        <v>124.5</v>
      </c>
      <c r="AD173" s="1">
        <v>132.4</v>
      </c>
    </row>
    <row r="174" spans="1:30" x14ac:dyDescent="0.3">
      <c r="A174" s="1" t="s">
        <v>34</v>
      </c>
      <c r="B174" s="1">
        <v>2017</v>
      </c>
      <c r="C174" s="1" t="s">
        <v>47</v>
      </c>
      <c r="D174" s="1">
        <v>134.69999999999999</v>
      </c>
      <c r="E174" s="1">
        <v>142.4</v>
      </c>
      <c r="F174" s="1">
        <v>130.19999999999999</v>
      </c>
      <c r="G174" s="1">
        <v>139.6</v>
      </c>
      <c r="H174" s="1">
        <v>118.4</v>
      </c>
      <c r="I174" s="1">
        <v>143</v>
      </c>
      <c r="J174" s="1">
        <v>156.6</v>
      </c>
      <c r="K174" s="1">
        <v>132.9</v>
      </c>
      <c r="L174" s="1">
        <v>121.5</v>
      </c>
      <c r="M174" s="1">
        <v>135.6</v>
      </c>
      <c r="N174" s="1">
        <v>128.80000000000001</v>
      </c>
      <c r="O174" s="1">
        <v>147.30000000000001</v>
      </c>
      <c r="P174" s="1">
        <v>139</v>
      </c>
      <c r="Q174" s="1">
        <v>150.80000000000001</v>
      </c>
      <c r="R174" s="1">
        <v>141.1</v>
      </c>
      <c r="S174" s="1">
        <v>133.4</v>
      </c>
      <c r="T174" s="1">
        <v>140</v>
      </c>
      <c r="U174" s="1" t="s">
        <v>99</v>
      </c>
      <c r="V174" s="1">
        <v>131</v>
      </c>
      <c r="W174" s="1">
        <v>133.30000000000001</v>
      </c>
      <c r="X174" s="1">
        <v>130.6</v>
      </c>
      <c r="Y174" s="1">
        <v>118.3</v>
      </c>
      <c r="Z174" s="1">
        <v>127.9</v>
      </c>
      <c r="AA174" s="1">
        <v>137.4</v>
      </c>
      <c r="AB174" s="1">
        <v>125.7</v>
      </c>
      <c r="AC174" s="1">
        <v>127.5</v>
      </c>
      <c r="AD174" s="1">
        <v>135.19999999999999</v>
      </c>
    </row>
    <row r="175" spans="1:30" x14ac:dyDescent="0.3">
      <c r="A175" s="1" t="s">
        <v>30</v>
      </c>
      <c r="B175" s="1">
        <v>2017</v>
      </c>
      <c r="C175" s="1" t="s">
        <v>49</v>
      </c>
      <c r="D175" s="1">
        <v>135.9</v>
      </c>
      <c r="E175" s="1">
        <v>141.9</v>
      </c>
      <c r="F175" s="1">
        <v>131</v>
      </c>
      <c r="G175" s="1">
        <v>141.5</v>
      </c>
      <c r="H175" s="1">
        <v>121.4</v>
      </c>
      <c r="I175" s="1">
        <v>146.69999999999999</v>
      </c>
      <c r="J175" s="1">
        <v>157.1</v>
      </c>
      <c r="K175" s="1">
        <v>136.4</v>
      </c>
      <c r="L175" s="1">
        <v>121.4</v>
      </c>
      <c r="M175" s="1">
        <v>135.6</v>
      </c>
      <c r="N175" s="1">
        <v>131.30000000000001</v>
      </c>
      <c r="O175" s="1">
        <v>150.30000000000001</v>
      </c>
      <c r="P175" s="1">
        <v>140.4</v>
      </c>
      <c r="Q175" s="1">
        <v>150.5</v>
      </c>
      <c r="R175" s="1">
        <v>147.19999999999999</v>
      </c>
      <c r="S175" s="1">
        <v>140.6</v>
      </c>
      <c r="T175" s="1">
        <v>146.19999999999999</v>
      </c>
      <c r="U175" s="1" t="s">
        <v>100</v>
      </c>
      <c r="V175" s="1">
        <v>138.1</v>
      </c>
      <c r="W175" s="1">
        <v>138.4</v>
      </c>
      <c r="X175" s="1">
        <v>134.19999999999999</v>
      </c>
      <c r="Y175" s="1">
        <v>121</v>
      </c>
      <c r="Z175" s="1">
        <v>133</v>
      </c>
      <c r="AA175" s="1">
        <v>140.1</v>
      </c>
      <c r="AB175" s="1">
        <v>127.4</v>
      </c>
      <c r="AC175" s="1">
        <v>130.69999999999999</v>
      </c>
      <c r="AD175" s="1">
        <v>138.30000000000001</v>
      </c>
    </row>
    <row r="176" spans="1:30" x14ac:dyDescent="0.3">
      <c r="A176" s="1" t="s">
        <v>32</v>
      </c>
      <c r="B176" s="1">
        <v>2017</v>
      </c>
      <c r="C176" s="1" t="s">
        <v>49</v>
      </c>
      <c r="D176" s="1">
        <v>133.9</v>
      </c>
      <c r="E176" s="1">
        <v>142.80000000000001</v>
      </c>
      <c r="F176" s="1">
        <v>131.4</v>
      </c>
      <c r="G176" s="1">
        <v>139.1</v>
      </c>
      <c r="H176" s="1">
        <v>114.9</v>
      </c>
      <c r="I176" s="1">
        <v>135.6</v>
      </c>
      <c r="J176" s="1">
        <v>173.2</v>
      </c>
      <c r="K176" s="1">
        <v>124.1</v>
      </c>
      <c r="L176" s="1">
        <v>122.6</v>
      </c>
      <c r="M176" s="1">
        <v>137.80000000000001</v>
      </c>
      <c r="N176" s="1">
        <v>125.1</v>
      </c>
      <c r="O176" s="1">
        <v>145.5</v>
      </c>
      <c r="P176" s="1">
        <v>139.69999999999999</v>
      </c>
      <c r="Q176" s="1">
        <v>154.6</v>
      </c>
      <c r="R176" s="1">
        <v>134</v>
      </c>
      <c r="S176" s="1">
        <v>124.9</v>
      </c>
      <c r="T176" s="1">
        <v>132.6</v>
      </c>
      <c r="U176" s="1" t="s">
        <v>100</v>
      </c>
      <c r="V176" s="1">
        <v>122.6</v>
      </c>
      <c r="W176" s="1">
        <v>128.30000000000001</v>
      </c>
      <c r="X176" s="1">
        <v>126.6</v>
      </c>
      <c r="Y176" s="1">
        <v>115</v>
      </c>
      <c r="Z176" s="1">
        <v>124.8</v>
      </c>
      <c r="AA176" s="1">
        <v>136.30000000000001</v>
      </c>
      <c r="AB176" s="1">
        <v>124.6</v>
      </c>
      <c r="AC176" s="1">
        <v>124.5</v>
      </c>
      <c r="AD176" s="1">
        <v>133.5</v>
      </c>
    </row>
    <row r="177" spans="1:30" x14ac:dyDescent="0.3">
      <c r="A177" s="1" t="s">
        <v>34</v>
      </c>
      <c r="B177" s="1">
        <v>2017</v>
      </c>
      <c r="C177" s="1" t="s">
        <v>49</v>
      </c>
      <c r="D177" s="1">
        <v>135.30000000000001</v>
      </c>
      <c r="E177" s="1">
        <v>142.19999999999999</v>
      </c>
      <c r="F177" s="1">
        <v>131.19999999999999</v>
      </c>
      <c r="G177" s="1">
        <v>140.6</v>
      </c>
      <c r="H177" s="1">
        <v>119</v>
      </c>
      <c r="I177" s="1">
        <v>141.5</v>
      </c>
      <c r="J177" s="1">
        <v>162.6</v>
      </c>
      <c r="K177" s="1">
        <v>132.30000000000001</v>
      </c>
      <c r="L177" s="1">
        <v>121.8</v>
      </c>
      <c r="M177" s="1">
        <v>136.30000000000001</v>
      </c>
      <c r="N177" s="1">
        <v>128.69999999999999</v>
      </c>
      <c r="O177" s="1">
        <v>148.1</v>
      </c>
      <c r="P177" s="1">
        <v>140.1</v>
      </c>
      <c r="Q177" s="1">
        <v>151.6</v>
      </c>
      <c r="R177" s="1">
        <v>142</v>
      </c>
      <c r="S177" s="1">
        <v>134.1</v>
      </c>
      <c r="T177" s="1">
        <v>140.80000000000001</v>
      </c>
      <c r="U177" s="1" t="s">
        <v>100</v>
      </c>
      <c r="V177" s="1">
        <v>132.19999999999999</v>
      </c>
      <c r="W177" s="1">
        <v>133.6</v>
      </c>
      <c r="X177" s="1">
        <v>131.30000000000001</v>
      </c>
      <c r="Y177" s="1">
        <v>117.8</v>
      </c>
      <c r="Z177" s="1">
        <v>128.4</v>
      </c>
      <c r="AA177" s="1">
        <v>137.9</v>
      </c>
      <c r="AB177" s="1">
        <v>126.2</v>
      </c>
      <c r="AC177" s="1">
        <v>127.7</v>
      </c>
      <c r="AD177" s="1">
        <v>136.1</v>
      </c>
    </row>
    <row r="178" spans="1:30" x14ac:dyDescent="0.3">
      <c r="A178" s="1" t="s">
        <v>30</v>
      </c>
      <c r="B178" s="1">
        <v>2017</v>
      </c>
      <c r="C178" s="1" t="s">
        <v>52</v>
      </c>
      <c r="D178" s="1">
        <v>136.30000000000001</v>
      </c>
      <c r="E178" s="1">
        <v>142.5</v>
      </c>
      <c r="F178" s="1">
        <v>140.5</v>
      </c>
      <c r="G178" s="1">
        <v>141.5</v>
      </c>
      <c r="H178" s="1">
        <v>121.6</v>
      </c>
      <c r="I178" s="1">
        <v>147.30000000000001</v>
      </c>
      <c r="J178" s="1">
        <v>168</v>
      </c>
      <c r="K178" s="1">
        <v>135.80000000000001</v>
      </c>
      <c r="L178" s="1">
        <v>122.5</v>
      </c>
      <c r="M178" s="1">
        <v>136</v>
      </c>
      <c r="N178" s="1">
        <v>131.9</v>
      </c>
      <c r="O178" s="1">
        <v>151.4</v>
      </c>
      <c r="P178" s="1">
        <v>142.4</v>
      </c>
      <c r="Q178" s="1">
        <v>152.1</v>
      </c>
      <c r="R178" s="1">
        <v>148.19999999999999</v>
      </c>
      <c r="S178" s="1">
        <v>141.5</v>
      </c>
      <c r="T178" s="1">
        <v>147.30000000000001</v>
      </c>
      <c r="U178" s="1" t="s">
        <v>101</v>
      </c>
      <c r="V178" s="1">
        <v>141.1</v>
      </c>
      <c r="W178" s="1">
        <v>139.4</v>
      </c>
      <c r="X178" s="1">
        <v>135.80000000000001</v>
      </c>
      <c r="Y178" s="1">
        <v>121.6</v>
      </c>
      <c r="Z178" s="1">
        <v>133.69999999999999</v>
      </c>
      <c r="AA178" s="1">
        <v>141.5</v>
      </c>
      <c r="AB178" s="1">
        <v>128.1</v>
      </c>
      <c r="AC178" s="1">
        <v>131.69999999999999</v>
      </c>
      <c r="AD178" s="1">
        <v>140</v>
      </c>
    </row>
    <row r="179" spans="1:30" x14ac:dyDescent="0.3">
      <c r="A179" s="1" t="s">
        <v>32</v>
      </c>
      <c r="B179" s="1">
        <v>2017</v>
      </c>
      <c r="C179" s="1" t="s">
        <v>52</v>
      </c>
      <c r="D179" s="1">
        <v>134.30000000000001</v>
      </c>
      <c r="E179" s="1">
        <v>142.1</v>
      </c>
      <c r="F179" s="1">
        <v>146.69999999999999</v>
      </c>
      <c r="G179" s="1">
        <v>139.5</v>
      </c>
      <c r="H179" s="1">
        <v>115.2</v>
      </c>
      <c r="I179" s="1">
        <v>136.4</v>
      </c>
      <c r="J179" s="1">
        <v>185.2</v>
      </c>
      <c r="K179" s="1">
        <v>122.2</v>
      </c>
      <c r="L179" s="1">
        <v>123.9</v>
      </c>
      <c r="M179" s="1">
        <v>138.30000000000001</v>
      </c>
      <c r="N179" s="1">
        <v>125.4</v>
      </c>
      <c r="O179" s="1">
        <v>146</v>
      </c>
      <c r="P179" s="1">
        <v>141.5</v>
      </c>
      <c r="Q179" s="1">
        <v>156.19999999999999</v>
      </c>
      <c r="R179" s="1">
        <v>135</v>
      </c>
      <c r="S179" s="1">
        <v>125.4</v>
      </c>
      <c r="T179" s="1">
        <v>133.5</v>
      </c>
      <c r="U179" s="1" t="s">
        <v>101</v>
      </c>
      <c r="V179" s="1">
        <v>125.7</v>
      </c>
      <c r="W179" s="1">
        <v>128.80000000000001</v>
      </c>
      <c r="X179" s="1">
        <v>127.4</v>
      </c>
      <c r="Y179" s="1">
        <v>115.3</v>
      </c>
      <c r="Z179" s="1">
        <v>125.1</v>
      </c>
      <c r="AA179" s="1">
        <v>136.6</v>
      </c>
      <c r="AB179" s="1">
        <v>124.9</v>
      </c>
      <c r="AC179" s="1">
        <v>124.9</v>
      </c>
      <c r="AD179" s="1">
        <v>134.80000000000001</v>
      </c>
    </row>
    <row r="180" spans="1:30" x14ac:dyDescent="0.3">
      <c r="A180" s="1" t="s">
        <v>34</v>
      </c>
      <c r="B180" s="1">
        <v>2017</v>
      </c>
      <c r="C180" s="1" t="s">
        <v>52</v>
      </c>
      <c r="D180" s="1">
        <v>135.69999999999999</v>
      </c>
      <c r="E180" s="1">
        <v>142.4</v>
      </c>
      <c r="F180" s="1">
        <v>142.9</v>
      </c>
      <c r="G180" s="1">
        <v>140.80000000000001</v>
      </c>
      <c r="H180" s="1">
        <v>119.2</v>
      </c>
      <c r="I180" s="1">
        <v>142.19999999999999</v>
      </c>
      <c r="J180" s="1">
        <v>173.8</v>
      </c>
      <c r="K180" s="1">
        <v>131.19999999999999</v>
      </c>
      <c r="L180" s="1">
        <v>123</v>
      </c>
      <c r="M180" s="1">
        <v>136.80000000000001</v>
      </c>
      <c r="N180" s="1">
        <v>129.19999999999999</v>
      </c>
      <c r="O180" s="1">
        <v>148.9</v>
      </c>
      <c r="P180" s="1">
        <v>142.1</v>
      </c>
      <c r="Q180" s="1">
        <v>153.19999999999999</v>
      </c>
      <c r="R180" s="1">
        <v>143</v>
      </c>
      <c r="S180" s="1">
        <v>134.80000000000001</v>
      </c>
      <c r="T180" s="1">
        <v>141.80000000000001</v>
      </c>
      <c r="U180" s="1" t="s">
        <v>101</v>
      </c>
      <c r="V180" s="1">
        <v>135.30000000000001</v>
      </c>
      <c r="W180" s="1">
        <v>134.4</v>
      </c>
      <c r="X180" s="1">
        <v>132.6</v>
      </c>
      <c r="Y180" s="1">
        <v>118.3</v>
      </c>
      <c r="Z180" s="1">
        <v>128.9</v>
      </c>
      <c r="AA180" s="1">
        <v>138.6</v>
      </c>
      <c r="AB180" s="1">
        <v>126.8</v>
      </c>
      <c r="AC180" s="1">
        <v>128.4</v>
      </c>
      <c r="AD180" s="1">
        <v>137.6</v>
      </c>
    </row>
    <row r="181" spans="1:30" x14ac:dyDescent="0.3">
      <c r="A181" s="1" t="s">
        <v>30</v>
      </c>
      <c r="B181" s="1">
        <v>2017</v>
      </c>
      <c r="C181" s="1" t="s">
        <v>54</v>
      </c>
      <c r="D181" s="1">
        <v>136.4</v>
      </c>
      <c r="E181" s="1">
        <v>143.69999999999999</v>
      </c>
      <c r="F181" s="1">
        <v>144.80000000000001</v>
      </c>
      <c r="G181" s="1">
        <v>141.9</v>
      </c>
      <c r="H181" s="1">
        <v>123.1</v>
      </c>
      <c r="I181" s="1">
        <v>147.19999999999999</v>
      </c>
      <c r="J181" s="1">
        <v>161</v>
      </c>
      <c r="K181" s="1">
        <v>133.80000000000001</v>
      </c>
      <c r="L181" s="1">
        <v>121.9</v>
      </c>
      <c r="M181" s="1">
        <v>135.80000000000001</v>
      </c>
      <c r="N181" s="1">
        <v>131.1</v>
      </c>
      <c r="O181" s="1">
        <v>151.4</v>
      </c>
      <c r="P181" s="1">
        <v>141.5</v>
      </c>
      <c r="Q181" s="1">
        <v>153.19999999999999</v>
      </c>
      <c r="R181" s="1">
        <v>148</v>
      </c>
      <c r="S181" s="1">
        <v>141.9</v>
      </c>
      <c r="T181" s="1">
        <v>147.19999999999999</v>
      </c>
      <c r="U181" s="1" t="s">
        <v>102</v>
      </c>
      <c r="V181" s="1">
        <v>142.6</v>
      </c>
      <c r="W181" s="1">
        <v>139.5</v>
      </c>
      <c r="X181" s="1">
        <v>136.1</v>
      </c>
      <c r="Y181" s="1">
        <v>122</v>
      </c>
      <c r="Z181" s="1">
        <v>133.4</v>
      </c>
      <c r="AA181" s="1">
        <v>141.1</v>
      </c>
      <c r="AB181" s="1">
        <v>127.8</v>
      </c>
      <c r="AC181" s="1">
        <v>131.9</v>
      </c>
      <c r="AD181" s="1">
        <v>139.80000000000001</v>
      </c>
    </row>
    <row r="182" spans="1:30" x14ac:dyDescent="0.3">
      <c r="A182" s="1" t="s">
        <v>32</v>
      </c>
      <c r="B182" s="1">
        <v>2017</v>
      </c>
      <c r="C182" s="1" t="s">
        <v>54</v>
      </c>
      <c r="D182" s="1">
        <v>134.4</v>
      </c>
      <c r="E182" s="1">
        <v>142.6</v>
      </c>
      <c r="F182" s="1">
        <v>145.9</v>
      </c>
      <c r="G182" s="1">
        <v>139.5</v>
      </c>
      <c r="H182" s="1">
        <v>115.9</v>
      </c>
      <c r="I182" s="1">
        <v>135</v>
      </c>
      <c r="J182" s="1">
        <v>163.19999999999999</v>
      </c>
      <c r="K182" s="1">
        <v>119.8</v>
      </c>
      <c r="L182" s="1">
        <v>120.7</v>
      </c>
      <c r="M182" s="1">
        <v>139.69999999999999</v>
      </c>
      <c r="N182" s="1">
        <v>125.7</v>
      </c>
      <c r="O182" s="1">
        <v>146.30000000000001</v>
      </c>
      <c r="P182" s="1">
        <v>138.80000000000001</v>
      </c>
      <c r="Q182" s="1">
        <v>157</v>
      </c>
      <c r="R182" s="1">
        <v>135.6</v>
      </c>
      <c r="S182" s="1">
        <v>125.6</v>
      </c>
      <c r="T182" s="1">
        <v>134</v>
      </c>
      <c r="U182" s="1" t="s">
        <v>102</v>
      </c>
      <c r="V182" s="1">
        <v>126.8</v>
      </c>
      <c r="W182" s="1">
        <v>129.30000000000001</v>
      </c>
      <c r="X182" s="1">
        <v>128.19999999999999</v>
      </c>
      <c r="Y182" s="1">
        <v>115.3</v>
      </c>
      <c r="Z182" s="1">
        <v>125.6</v>
      </c>
      <c r="AA182" s="1">
        <v>136.69999999999999</v>
      </c>
      <c r="AB182" s="1">
        <v>124.6</v>
      </c>
      <c r="AC182" s="1">
        <v>125.1</v>
      </c>
      <c r="AD182" s="1">
        <v>134.1</v>
      </c>
    </row>
    <row r="183" spans="1:30" x14ac:dyDescent="0.3">
      <c r="A183" s="1" t="s">
        <v>34</v>
      </c>
      <c r="B183" s="1">
        <v>2017</v>
      </c>
      <c r="C183" s="1" t="s">
        <v>54</v>
      </c>
      <c r="D183" s="1">
        <v>135.80000000000001</v>
      </c>
      <c r="E183" s="1">
        <v>143.30000000000001</v>
      </c>
      <c r="F183" s="1">
        <v>145.19999999999999</v>
      </c>
      <c r="G183" s="1">
        <v>141</v>
      </c>
      <c r="H183" s="1">
        <v>120.5</v>
      </c>
      <c r="I183" s="1">
        <v>141.5</v>
      </c>
      <c r="J183" s="1">
        <v>161.69999999999999</v>
      </c>
      <c r="K183" s="1">
        <v>129.1</v>
      </c>
      <c r="L183" s="1">
        <v>121.5</v>
      </c>
      <c r="M183" s="1">
        <v>137.1</v>
      </c>
      <c r="N183" s="1">
        <v>128.80000000000001</v>
      </c>
      <c r="O183" s="1">
        <v>149</v>
      </c>
      <c r="P183" s="1">
        <v>140.5</v>
      </c>
      <c r="Q183" s="1">
        <v>154.19999999999999</v>
      </c>
      <c r="R183" s="1">
        <v>143.1</v>
      </c>
      <c r="S183" s="1">
        <v>135.1</v>
      </c>
      <c r="T183" s="1">
        <v>142</v>
      </c>
      <c r="U183" s="1" t="s">
        <v>102</v>
      </c>
      <c r="V183" s="1">
        <v>136.6</v>
      </c>
      <c r="W183" s="1">
        <v>134.69999999999999</v>
      </c>
      <c r="X183" s="1">
        <v>133.1</v>
      </c>
      <c r="Y183" s="1">
        <v>118.5</v>
      </c>
      <c r="Z183" s="1">
        <v>129</v>
      </c>
      <c r="AA183" s="1">
        <v>138.5</v>
      </c>
      <c r="AB183" s="1">
        <v>126.5</v>
      </c>
      <c r="AC183" s="1">
        <v>128.6</v>
      </c>
      <c r="AD183" s="1">
        <v>137.19999999999999</v>
      </c>
    </row>
    <row r="184" spans="1:30" x14ac:dyDescent="0.3">
      <c r="A184" s="1" t="s">
        <v>30</v>
      </c>
      <c r="B184" s="1">
        <v>2018</v>
      </c>
      <c r="C184" s="1" t="s">
        <v>31</v>
      </c>
      <c r="D184" s="1">
        <v>136.6</v>
      </c>
      <c r="E184" s="1">
        <v>144.4</v>
      </c>
      <c r="F184" s="1">
        <v>143.80000000000001</v>
      </c>
      <c r="G184" s="1">
        <v>142</v>
      </c>
      <c r="H184" s="1">
        <v>123.2</v>
      </c>
      <c r="I184" s="1">
        <v>147.9</v>
      </c>
      <c r="J184" s="1">
        <v>152.1</v>
      </c>
      <c r="K184" s="1">
        <v>131.80000000000001</v>
      </c>
      <c r="L184" s="1">
        <v>119.5</v>
      </c>
      <c r="M184" s="1">
        <v>136</v>
      </c>
      <c r="N184" s="1">
        <v>131.19999999999999</v>
      </c>
      <c r="O184" s="1">
        <v>151.80000000000001</v>
      </c>
      <c r="P184" s="1">
        <v>140.4</v>
      </c>
      <c r="Q184" s="1">
        <v>153.6</v>
      </c>
      <c r="R184" s="1">
        <v>148.30000000000001</v>
      </c>
      <c r="S184" s="1">
        <v>142.30000000000001</v>
      </c>
      <c r="T184" s="1">
        <v>147.5</v>
      </c>
      <c r="U184" s="1" t="s">
        <v>103</v>
      </c>
      <c r="V184" s="1">
        <v>142.30000000000001</v>
      </c>
      <c r="W184" s="1">
        <v>139.80000000000001</v>
      </c>
      <c r="X184" s="1">
        <v>136</v>
      </c>
      <c r="Y184" s="1">
        <v>122.7</v>
      </c>
      <c r="Z184" s="1">
        <v>134.30000000000001</v>
      </c>
      <c r="AA184" s="1">
        <v>141.6</v>
      </c>
      <c r="AB184" s="1">
        <v>128.6</v>
      </c>
      <c r="AC184" s="1">
        <v>132.30000000000001</v>
      </c>
      <c r="AD184" s="1">
        <v>139.30000000000001</v>
      </c>
    </row>
    <row r="185" spans="1:30" x14ac:dyDescent="0.3">
      <c r="A185" s="1" t="s">
        <v>32</v>
      </c>
      <c r="B185" s="1">
        <v>2018</v>
      </c>
      <c r="C185" s="1" t="s">
        <v>31</v>
      </c>
      <c r="D185" s="1">
        <v>134.6</v>
      </c>
      <c r="E185" s="1">
        <v>143.69999999999999</v>
      </c>
      <c r="F185" s="1">
        <v>143.6</v>
      </c>
      <c r="G185" s="1">
        <v>139.6</v>
      </c>
      <c r="H185" s="1">
        <v>116.4</v>
      </c>
      <c r="I185" s="1">
        <v>133.80000000000001</v>
      </c>
      <c r="J185" s="1">
        <v>150.5</v>
      </c>
      <c r="K185" s="1">
        <v>118.4</v>
      </c>
      <c r="L185" s="1">
        <v>117.3</v>
      </c>
      <c r="M185" s="1">
        <v>140.5</v>
      </c>
      <c r="N185" s="1">
        <v>125.9</v>
      </c>
      <c r="O185" s="1">
        <v>146.80000000000001</v>
      </c>
      <c r="P185" s="1">
        <v>137.19999999999999</v>
      </c>
      <c r="Q185" s="1">
        <v>157.69999999999999</v>
      </c>
      <c r="R185" s="1">
        <v>136</v>
      </c>
      <c r="S185" s="1">
        <v>125.9</v>
      </c>
      <c r="T185" s="1">
        <v>134.4</v>
      </c>
      <c r="U185" s="1" t="s">
        <v>103</v>
      </c>
      <c r="V185" s="1">
        <v>127.3</v>
      </c>
      <c r="W185" s="1">
        <v>129.5</v>
      </c>
      <c r="X185" s="1">
        <v>129</v>
      </c>
      <c r="Y185" s="1">
        <v>116.3</v>
      </c>
      <c r="Z185" s="1">
        <v>126.2</v>
      </c>
      <c r="AA185" s="1">
        <v>137.1</v>
      </c>
      <c r="AB185" s="1">
        <v>125.5</v>
      </c>
      <c r="AC185" s="1">
        <v>125.8</v>
      </c>
      <c r="AD185" s="1">
        <v>134.1</v>
      </c>
    </row>
    <row r="186" spans="1:30" x14ac:dyDescent="0.3">
      <c r="A186" s="1" t="s">
        <v>34</v>
      </c>
      <c r="B186" s="1">
        <v>2018</v>
      </c>
      <c r="C186" s="1" t="s">
        <v>31</v>
      </c>
      <c r="D186" s="1">
        <v>136</v>
      </c>
      <c r="E186" s="1">
        <v>144.19999999999999</v>
      </c>
      <c r="F186" s="1">
        <v>143.69999999999999</v>
      </c>
      <c r="G186" s="1">
        <v>141.1</v>
      </c>
      <c r="H186" s="1">
        <v>120.7</v>
      </c>
      <c r="I186" s="1">
        <v>141.30000000000001</v>
      </c>
      <c r="J186" s="1">
        <v>151.6</v>
      </c>
      <c r="K186" s="1">
        <v>127.3</v>
      </c>
      <c r="L186" s="1">
        <v>118.8</v>
      </c>
      <c r="M186" s="1">
        <v>137.5</v>
      </c>
      <c r="N186" s="1">
        <v>129</v>
      </c>
      <c r="O186" s="1">
        <v>149.5</v>
      </c>
      <c r="P186" s="1">
        <v>139.19999999999999</v>
      </c>
      <c r="Q186" s="1">
        <v>154.69999999999999</v>
      </c>
      <c r="R186" s="1">
        <v>143.5</v>
      </c>
      <c r="S186" s="1">
        <v>135.5</v>
      </c>
      <c r="T186" s="1">
        <v>142.30000000000001</v>
      </c>
      <c r="U186" s="1" t="s">
        <v>103</v>
      </c>
      <c r="V186" s="1">
        <v>136.6</v>
      </c>
      <c r="W186" s="1">
        <v>134.9</v>
      </c>
      <c r="X186" s="1">
        <v>133.30000000000001</v>
      </c>
      <c r="Y186" s="1">
        <v>119.3</v>
      </c>
      <c r="Z186" s="1">
        <v>129.69999999999999</v>
      </c>
      <c r="AA186" s="1">
        <v>139</v>
      </c>
      <c r="AB186" s="1">
        <v>127.3</v>
      </c>
      <c r="AC186" s="1">
        <v>129.1</v>
      </c>
      <c r="AD186" s="1">
        <v>136.9</v>
      </c>
    </row>
    <row r="187" spans="1:30" x14ac:dyDescent="0.3">
      <c r="A187" s="1" t="s">
        <v>30</v>
      </c>
      <c r="B187" s="1">
        <v>2018</v>
      </c>
      <c r="C187" s="1" t="s">
        <v>35</v>
      </c>
      <c r="D187" s="1">
        <v>136.4</v>
      </c>
      <c r="E187" s="1">
        <v>143.69999999999999</v>
      </c>
      <c r="F187" s="1">
        <v>140.6</v>
      </c>
      <c r="G187" s="1">
        <v>141.5</v>
      </c>
      <c r="H187" s="1">
        <v>122.9</v>
      </c>
      <c r="I187" s="1">
        <v>149.4</v>
      </c>
      <c r="J187" s="1">
        <v>142.4</v>
      </c>
      <c r="K187" s="1">
        <v>130.19999999999999</v>
      </c>
      <c r="L187" s="1">
        <v>117.9</v>
      </c>
      <c r="M187" s="1">
        <v>135.6</v>
      </c>
      <c r="N187" s="1">
        <v>130.5</v>
      </c>
      <c r="O187" s="1">
        <v>151.69999999999999</v>
      </c>
      <c r="P187" s="1">
        <v>138.69999999999999</v>
      </c>
      <c r="Q187" s="1">
        <v>153.30000000000001</v>
      </c>
      <c r="R187" s="1">
        <v>148.69999999999999</v>
      </c>
      <c r="S187" s="1">
        <v>142.4</v>
      </c>
      <c r="T187" s="1">
        <v>147.80000000000001</v>
      </c>
      <c r="U187" s="1" t="s">
        <v>104</v>
      </c>
      <c r="V187" s="1">
        <v>142.4</v>
      </c>
      <c r="W187" s="1">
        <v>139.9</v>
      </c>
      <c r="X187" s="1">
        <v>136.19999999999999</v>
      </c>
      <c r="Y187" s="1">
        <v>123.3</v>
      </c>
      <c r="Z187" s="1">
        <v>134.30000000000001</v>
      </c>
      <c r="AA187" s="1">
        <v>141.5</v>
      </c>
      <c r="AB187" s="1">
        <v>128.80000000000001</v>
      </c>
      <c r="AC187" s="1">
        <v>132.5</v>
      </c>
      <c r="AD187" s="1">
        <v>138.5</v>
      </c>
    </row>
    <row r="188" spans="1:30" x14ac:dyDescent="0.3">
      <c r="A188" s="1" t="s">
        <v>32</v>
      </c>
      <c r="B188" s="1">
        <v>2018</v>
      </c>
      <c r="C188" s="1" t="s">
        <v>35</v>
      </c>
      <c r="D188" s="1">
        <v>134.80000000000001</v>
      </c>
      <c r="E188" s="1">
        <v>143</v>
      </c>
      <c r="F188" s="1">
        <v>139.9</v>
      </c>
      <c r="G188" s="1">
        <v>139.9</v>
      </c>
      <c r="H188" s="1">
        <v>116.2</v>
      </c>
      <c r="I188" s="1">
        <v>135.5</v>
      </c>
      <c r="J188" s="1">
        <v>136.9</v>
      </c>
      <c r="K188" s="1">
        <v>117</v>
      </c>
      <c r="L188" s="1">
        <v>115.4</v>
      </c>
      <c r="M188" s="1">
        <v>140.69999999999999</v>
      </c>
      <c r="N188" s="1">
        <v>125.9</v>
      </c>
      <c r="O188" s="1">
        <v>147.1</v>
      </c>
      <c r="P188" s="1">
        <v>135.6</v>
      </c>
      <c r="Q188" s="1">
        <v>159.30000000000001</v>
      </c>
      <c r="R188" s="1">
        <v>136.30000000000001</v>
      </c>
      <c r="S188" s="1">
        <v>126.1</v>
      </c>
      <c r="T188" s="1">
        <v>134.69999999999999</v>
      </c>
      <c r="U188" s="1" t="s">
        <v>104</v>
      </c>
      <c r="V188" s="1">
        <v>127.3</v>
      </c>
      <c r="W188" s="1">
        <v>129.9</v>
      </c>
      <c r="X188" s="1">
        <v>129.80000000000001</v>
      </c>
      <c r="Y188" s="1">
        <v>117.4</v>
      </c>
      <c r="Z188" s="1">
        <v>126.5</v>
      </c>
      <c r="AA188" s="1">
        <v>137.19999999999999</v>
      </c>
      <c r="AB188" s="1">
        <v>126.2</v>
      </c>
      <c r="AC188" s="1">
        <v>126.5</v>
      </c>
      <c r="AD188" s="1">
        <v>134</v>
      </c>
    </row>
    <row r="189" spans="1:30" x14ac:dyDescent="0.3">
      <c r="A189" s="1" t="s">
        <v>34</v>
      </c>
      <c r="B189" s="1">
        <v>2018</v>
      </c>
      <c r="C189" s="1" t="s">
        <v>35</v>
      </c>
      <c r="D189" s="1">
        <v>135.9</v>
      </c>
      <c r="E189" s="1">
        <v>143.5</v>
      </c>
      <c r="F189" s="1">
        <v>140.30000000000001</v>
      </c>
      <c r="G189" s="1">
        <v>140.9</v>
      </c>
      <c r="H189" s="1">
        <v>120.4</v>
      </c>
      <c r="I189" s="1">
        <v>142.9</v>
      </c>
      <c r="J189" s="1">
        <v>140.5</v>
      </c>
      <c r="K189" s="1">
        <v>125.8</v>
      </c>
      <c r="L189" s="1">
        <v>117.1</v>
      </c>
      <c r="M189" s="1">
        <v>137.30000000000001</v>
      </c>
      <c r="N189" s="1">
        <v>128.6</v>
      </c>
      <c r="O189" s="1">
        <v>149.6</v>
      </c>
      <c r="P189" s="1">
        <v>137.6</v>
      </c>
      <c r="Q189" s="1">
        <v>154.9</v>
      </c>
      <c r="R189" s="1">
        <v>143.80000000000001</v>
      </c>
      <c r="S189" s="1">
        <v>135.6</v>
      </c>
      <c r="T189" s="1">
        <v>142.6</v>
      </c>
      <c r="U189" s="1" t="s">
        <v>104</v>
      </c>
      <c r="V189" s="1">
        <v>136.69999999999999</v>
      </c>
      <c r="W189" s="1">
        <v>135.19999999999999</v>
      </c>
      <c r="X189" s="1">
        <v>133.80000000000001</v>
      </c>
      <c r="Y189" s="1">
        <v>120.2</v>
      </c>
      <c r="Z189" s="1">
        <v>129.9</v>
      </c>
      <c r="AA189" s="1">
        <v>139</v>
      </c>
      <c r="AB189" s="1">
        <v>127.7</v>
      </c>
      <c r="AC189" s="1">
        <v>129.6</v>
      </c>
      <c r="AD189" s="1">
        <v>136.4</v>
      </c>
    </row>
    <row r="190" spans="1:30" x14ac:dyDescent="0.3">
      <c r="A190" s="1" t="s">
        <v>30</v>
      </c>
      <c r="B190" s="1">
        <v>2018</v>
      </c>
      <c r="C190" s="1" t="s">
        <v>37</v>
      </c>
      <c r="D190" s="1">
        <v>136.80000000000001</v>
      </c>
      <c r="E190" s="1">
        <v>143.80000000000001</v>
      </c>
      <c r="F190" s="1">
        <v>140</v>
      </c>
      <c r="G190" s="1">
        <v>142</v>
      </c>
      <c r="H190" s="1">
        <v>123.2</v>
      </c>
      <c r="I190" s="1">
        <v>152.9</v>
      </c>
      <c r="J190" s="1">
        <v>138</v>
      </c>
      <c r="K190" s="1">
        <v>129.30000000000001</v>
      </c>
      <c r="L190" s="1">
        <v>117.1</v>
      </c>
      <c r="M190" s="1">
        <v>136.30000000000001</v>
      </c>
      <c r="N190" s="1">
        <v>131.19999999999999</v>
      </c>
      <c r="O190" s="1">
        <v>152.80000000000001</v>
      </c>
      <c r="P190" s="1">
        <v>138.6</v>
      </c>
      <c r="Q190" s="1">
        <v>155.1</v>
      </c>
      <c r="R190" s="1">
        <v>149.19999999999999</v>
      </c>
      <c r="S190" s="1">
        <v>143</v>
      </c>
      <c r="T190" s="1">
        <v>148.30000000000001</v>
      </c>
      <c r="U190" s="1" t="s">
        <v>105</v>
      </c>
      <c r="V190" s="1">
        <v>142.6</v>
      </c>
      <c r="W190" s="1">
        <v>139.9</v>
      </c>
      <c r="X190" s="1">
        <v>136.69999999999999</v>
      </c>
      <c r="Y190" s="1">
        <v>124.6</v>
      </c>
      <c r="Z190" s="1">
        <v>135.1</v>
      </c>
      <c r="AA190" s="1">
        <v>142.69999999999999</v>
      </c>
      <c r="AB190" s="1">
        <v>129.30000000000001</v>
      </c>
      <c r="AC190" s="1">
        <v>133.30000000000001</v>
      </c>
      <c r="AD190" s="1">
        <v>138.69999999999999</v>
      </c>
    </row>
    <row r="191" spans="1:30" x14ac:dyDescent="0.3">
      <c r="A191" s="1" t="s">
        <v>32</v>
      </c>
      <c r="B191" s="1">
        <v>2018</v>
      </c>
      <c r="C191" s="1" t="s">
        <v>37</v>
      </c>
      <c r="D191" s="1">
        <v>135</v>
      </c>
      <c r="E191" s="1">
        <v>143.1</v>
      </c>
      <c r="F191" s="1">
        <v>135.5</v>
      </c>
      <c r="G191" s="1">
        <v>139.9</v>
      </c>
      <c r="H191" s="1">
        <v>116.5</v>
      </c>
      <c r="I191" s="1">
        <v>138.5</v>
      </c>
      <c r="J191" s="1">
        <v>128</v>
      </c>
      <c r="K191" s="1">
        <v>115.5</v>
      </c>
      <c r="L191" s="1">
        <v>114.2</v>
      </c>
      <c r="M191" s="1">
        <v>140.69999999999999</v>
      </c>
      <c r="N191" s="1">
        <v>126.2</v>
      </c>
      <c r="O191" s="1">
        <v>147.6</v>
      </c>
      <c r="P191" s="1">
        <v>134.80000000000001</v>
      </c>
      <c r="Q191" s="1">
        <v>159.69999999999999</v>
      </c>
      <c r="R191" s="1">
        <v>136.69999999999999</v>
      </c>
      <c r="S191" s="1">
        <v>126.7</v>
      </c>
      <c r="T191" s="1">
        <v>135.19999999999999</v>
      </c>
      <c r="U191" s="1" t="s">
        <v>105</v>
      </c>
      <c r="V191" s="1">
        <v>126.4</v>
      </c>
      <c r="W191" s="1">
        <v>130.80000000000001</v>
      </c>
      <c r="X191" s="1">
        <v>130.5</v>
      </c>
      <c r="Y191" s="1">
        <v>117.8</v>
      </c>
      <c r="Z191" s="1">
        <v>126.8</v>
      </c>
      <c r="AA191" s="1">
        <v>137.80000000000001</v>
      </c>
      <c r="AB191" s="1">
        <v>126.7</v>
      </c>
      <c r="AC191" s="1">
        <v>127.1</v>
      </c>
      <c r="AD191" s="1">
        <v>134</v>
      </c>
    </row>
    <row r="192" spans="1:30" x14ac:dyDescent="0.3">
      <c r="A192" s="1" t="s">
        <v>34</v>
      </c>
      <c r="B192" s="1">
        <v>2018</v>
      </c>
      <c r="C192" s="1" t="s">
        <v>37</v>
      </c>
      <c r="D192" s="1">
        <v>136.19999999999999</v>
      </c>
      <c r="E192" s="1">
        <v>143.6</v>
      </c>
      <c r="F192" s="1">
        <v>138.30000000000001</v>
      </c>
      <c r="G192" s="1">
        <v>141.19999999999999</v>
      </c>
      <c r="H192" s="1">
        <v>120.7</v>
      </c>
      <c r="I192" s="1">
        <v>146.19999999999999</v>
      </c>
      <c r="J192" s="1">
        <v>134.6</v>
      </c>
      <c r="K192" s="1">
        <v>124.6</v>
      </c>
      <c r="L192" s="1">
        <v>116.1</v>
      </c>
      <c r="M192" s="1">
        <v>137.80000000000001</v>
      </c>
      <c r="N192" s="1">
        <v>129.1</v>
      </c>
      <c r="O192" s="1">
        <v>150.4</v>
      </c>
      <c r="P192" s="1">
        <v>137.19999999999999</v>
      </c>
      <c r="Q192" s="1">
        <v>156.30000000000001</v>
      </c>
      <c r="R192" s="1">
        <v>144.30000000000001</v>
      </c>
      <c r="S192" s="1">
        <v>136.19999999999999</v>
      </c>
      <c r="T192" s="1">
        <v>143.1</v>
      </c>
      <c r="U192" s="1" t="s">
        <v>105</v>
      </c>
      <c r="V192" s="1">
        <v>136.5</v>
      </c>
      <c r="W192" s="1">
        <v>135.6</v>
      </c>
      <c r="X192" s="1">
        <v>134.30000000000001</v>
      </c>
      <c r="Y192" s="1">
        <v>121</v>
      </c>
      <c r="Z192" s="1">
        <v>130.4</v>
      </c>
      <c r="AA192" s="1">
        <v>139.80000000000001</v>
      </c>
      <c r="AB192" s="1">
        <v>128.19999999999999</v>
      </c>
      <c r="AC192" s="1">
        <v>130.30000000000001</v>
      </c>
      <c r="AD192" s="1">
        <v>136.5</v>
      </c>
    </row>
    <row r="193" spans="1:30" x14ac:dyDescent="0.3">
      <c r="A193" s="1" t="s">
        <v>30</v>
      </c>
      <c r="B193" s="1">
        <v>2018</v>
      </c>
      <c r="C193" s="1" t="s">
        <v>38</v>
      </c>
      <c r="D193" s="1">
        <v>137.1</v>
      </c>
      <c r="E193" s="1">
        <v>144.5</v>
      </c>
      <c r="F193" s="1">
        <v>135.9</v>
      </c>
      <c r="G193" s="1">
        <v>142.4</v>
      </c>
      <c r="H193" s="1">
        <v>123.5</v>
      </c>
      <c r="I193" s="1">
        <v>156.4</v>
      </c>
      <c r="J193" s="1">
        <v>135.1</v>
      </c>
      <c r="K193" s="1">
        <v>128.4</v>
      </c>
      <c r="L193" s="1">
        <v>115.2</v>
      </c>
      <c r="M193" s="1">
        <v>137.19999999999999</v>
      </c>
      <c r="N193" s="1">
        <v>131.9</v>
      </c>
      <c r="O193" s="1">
        <v>153.80000000000001</v>
      </c>
      <c r="P193" s="1">
        <v>138.6</v>
      </c>
      <c r="Q193" s="1">
        <v>156.1</v>
      </c>
      <c r="R193" s="1">
        <v>150.1</v>
      </c>
      <c r="S193" s="1">
        <v>143.30000000000001</v>
      </c>
      <c r="T193" s="1">
        <v>149.1</v>
      </c>
      <c r="U193" s="1" t="s">
        <v>106</v>
      </c>
      <c r="V193" s="1">
        <v>143.80000000000001</v>
      </c>
      <c r="W193" s="1">
        <v>140.9</v>
      </c>
      <c r="X193" s="1">
        <v>137.6</v>
      </c>
      <c r="Y193" s="1">
        <v>125.3</v>
      </c>
      <c r="Z193" s="1">
        <v>136</v>
      </c>
      <c r="AA193" s="1">
        <v>143.69999999999999</v>
      </c>
      <c r="AB193" s="1">
        <v>130.4</v>
      </c>
      <c r="AC193" s="1">
        <v>134.19999999999999</v>
      </c>
      <c r="AD193" s="1">
        <v>139.1</v>
      </c>
    </row>
    <row r="194" spans="1:30" x14ac:dyDescent="0.3">
      <c r="A194" s="1" t="s">
        <v>32</v>
      </c>
      <c r="B194" s="1">
        <v>2018</v>
      </c>
      <c r="C194" s="1" t="s">
        <v>38</v>
      </c>
      <c r="D194" s="1">
        <v>135</v>
      </c>
      <c r="E194" s="1">
        <v>144.30000000000001</v>
      </c>
      <c r="F194" s="1">
        <v>130.80000000000001</v>
      </c>
      <c r="G194" s="1">
        <v>140.30000000000001</v>
      </c>
      <c r="H194" s="1">
        <v>116.6</v>
      </c>
      <c r="I194" s="1">
        <v>150.1</v>
      </c>
      <c r="J194" s="1">
        <v>127.6</v>
      </c>
      <c r="K194" s="1">
        <v>114</v>
      </c>
      <c r="L194" s="1">
        <v>110.6</v>
      </c>
      <c r="M194" s="1">
        <v>140.19999999999999</v>
      </c>
      <c r="N194" s="1">
        <v>126.5</v>
      </c>
      <c r="O194" s="1">
        <v>148.30000000000001</v>
      </c>
      <c r="P194" s="1">
        <v>135.69999999999999</v>
      </c>
      <c r="Q194" s="1">
        <v>159.19999999999999</v>
      </c>
      <c r="R194" s="1">
        <v>137.80000000000001</v>
      </c>
      <c r="S194" s="1">
        <v>127.4</v>
      </c>
      <c r="T194" s="1">
        <v>136.19999999999999</v>
      </c>
      <c r="U194" s="1" t="s">
        <v>106</v>
      </c>
      <c r="V194" s="1">
        <v>124.6</v>
      </c>
      <c r="W194" s="1">
        <v>131.80000000000001</v>
      </c>
      <c r="X194" s="1">
        <v>131.30000000000001</v>
      </c>
      <c r="Y194" s="1">
        <v>118.9</v>
      </c>
      <c r="Z194" s="1">
        <v>127.6</v>
      </c>
      <c r="AA194" s="1">
        <v>139.69999999999999</v>
      </c>
      <c r="AB194" s="1">
        <v>127.6</v>
      </c>
      <c r="AC194" s="1">
        <v>128.19999999999999</v>
      </c>
      <c r="AD194" s="1">
        <v>134.80000000000001</v>
      </c>
    </row>
    <row r="195" spans="1:30" x14ac:dyDescent="0.3">
      <c r="A195" s="1" t="s">
        <v>34</v>
      </c>
      <c r="B195" s="1">
        <v>2018</v>
      </c>
      <c r="C195" s="1" t="s">
        <v>38</v>
      </c>
      <c r="D195" s="1">
        <v>136.4</v>
      </c>
      <c r="E195" s="1">
        <v>144.4</v>
      </c>
      <c r="F195" s="1">
        <v>133.9</v>
      </c>
      <c r="G195" s="1">
        <v>141.6</v>
      </c>
      <c r="H195" s="1">
        <v>121</v>
      </c>
      <c r="I195" s="1">
        <v>153.5</v>
      </c>
      <c r="J195" s="1">
        <v>132.6</v>
      </c>
      <c r="K195" s="1">
        <v>123.5</v>
      </c>
      <c r="L195" s="1">
        <v>113.7</v>
      </c>
      <c r="M195" s="1">
        <v>138.19999999999999</v>
      </c>
      <c r="N195" s="1">
        <v>129.6</v>
      </c>
      <c r="O195" s="1">
        <v>151.19999999999999</v>
      </c>
      <c r="P195" s="1">
        <v>137.5</v>
      </c>
      <c r="Q195" s="1">
        <v>156.9</v>
      </c>
      <c r="R195" s="1">
        <v>145.30000000000001</v>
      </c>
      <c r="S195" s="1">
        <v>136.69999999999999</v>
      </c>
      <c r="T195" s="1">
        <v>144</v>
      </c>
      <c r="U195" s="1" t="s">
        <v>106</v>
      </c>
      <c r="V195" s="1">
        <v>136.5</v>
      </c>
      <c r="W195" s="1">
        <v>136.6</v>
      </c>
      <c r="X195" s="1">
        <v>135.19999999999999</v>
      </c>
      <c r="Y195" s="1">
        <v>121.9</v>
      </c>
      <c r="Z195" s="1">
        <v>131.30000000000001</v>
      </c>
      <c r="AA195" s="1">
        <v>141.4</v>
      </c>
      <c r="AB195" s="1">
        <v>129.19999999999999</v>
      </c>
      <c r="AC195" s="1">
        <v>131.30000000000001</v>
      </c>
      <c r="AD195" s="1">
        <v>137.1</v>
      </c>
    </row>
    <row r="196" spans="1:30" x14ac:dyDescent="0.3">
      <c r="A196" s="1" t="s">
        <v>30</v>
      </c>
      <c r="B196" s="1">
        <v>2018</v>
      </c>
      <c r="C196" s="1" t="s">
        <v>40</v>
      </c>
      <c r="D196" s="1">
        <v>137.4</v>
      </c>
      <c r="E196" s="1">
        <v>145.69999999999999</v>
      </c>
      <c r="F196" s="1">
        <v>135.5</v>
      </c>
      <c r="G196" s="1">
        <v>142.9</v>
      </c>
      <c r="H196" s="1">
        <v>123.6</v>
      </c>
      <c r="I196" s="1">
        <v>157.5</v>
      </c>
      <c r="J196" s="1">
        <v>137.80000000000001</v>
      </c>
      <c r="K196" s="1">
        <v>127.2</v>
      </c>
      <c r="L196" s="1">
        <v>111.8</v>
      </c>
      <c r="M196" s="1">
        <v>137.4</v>
      </c>
      <c r="N196" s="1">
        <v>132.19999999999999</v>
      </c>
      <c r="O196" s="1">
        <v>154.30000000000001</v>
      </c>
      <c r="P196" s="1">
        <v>139.1</v>
      </c>
      <c r="Q196" s="1">
        <v>157</v>
      </c>
      <c r="R196" s="1">
        <v>150.80000000000001</v>
      </c>
      <c r="S196" s="1">
        <v>144.1</v>
      </c>
      <c r="T196" s="1">
        <v>149.80000000000001</v>
      </c>
      <c r="U196" s="1" t="s">
        <v>107</v>
      </c>
      <c r="V196" s="1">
        <v>144.30000000000001</v>
      </c>
      <c r="W196" s="1">
        <v>141.80000000000001</v>
      </c>
      <c r="X196" s="1">
        <v>138.4</v>
      </c>
      <c r="Y196" s="1">
        <v>126.4</v>
      </c>
      <c r="Z196" s="1">
        <v>136.80000000000001</v>
      </c>
      <c r="AA196" s="1">
        <v>144.4</v>
      </c>
      <c r="AB196" s="1">
        <v>131.19999999999999</v>
      </c>
      <c r="AC196" s="1">
        <v>135.1</v>
      </c>
      <c r="AD196" s="1">
        <v>139.80000000000001</v>
      </c>
    </row>
    <row r="197" spans="1:30" x14ac:dyDescent="0.3">
      <c r="A197" s="1" t="s">
        <v>32</v>
      </c>
      <c r="B197" s="1">
        <v>2018</v>
      </c>
      <c r="C197" s="1" t="s">
        <v>40</v>
      </c>
      <c r="D197" s="1">
        <v>135</v>
      </c>
      <c r="E197" s="1">
        <v>148.19999999999999</v>
      </c>
      <c r="F197" s="1">
        <v>130.5</v>
      </c>
      <c r="G197" s="1">
        <v>140.69999999999999</v>
      </c>
      <c r="H197" s="1">
        <v>116.4</v>
      </c>
      <c r="I197" s="1">
        <v>151.30000000000001</v>
      </c>
      <c r="J197" s="1">
        <v>131.4</v>
      </c>
      <c r="K197" s="1">
        <v>112.8</v>
      </c>
      <c r="L197" s="1">
        <v>105.3</v>
      </c>
      <c r="M197" s="1">
        <v>139.6</v>
      </c>
      <c r="N197" s="1">
        <v>126.6</v>
      </c>
      <c r="O197" s="1">
        <v>148.69999999999999</v>
      </c>
      <c r="P197" s="1">
        <v>136.4</v>
      </c>
      <c r="Q197" s="1">
        <v>160.30000000000001</v>
      </c>
      <c r="R197" s="1">
        <v>138.6</v>
      </c>
      <c r="S197" s="1">
        <v>127.9</v>
      </c>
      <c r="T197" s="1">
        <v>137</v>
      </c>
      <c r="U197" s="1" t="s">
        <v>107</v>
      </c>
      <c r="V197" s="1">
        <v>124.7</v>
      </c>
      <c r="W197" s="1">
        <v>132.5</v>
      </c>
      <c r="X197" s="1">
        <v>132</v>
      </c>
      <c r="Y197" s="1">
        <v>119.8</v>
      </c>
      <c r="Z197" s="1">
        <v>128</v>
      </c>
      <c r="AA197" s="1">
        <v>140.4</v>
      </c>
      <c r="AB197" s="1">
        <v>128.1</v>
      </c>
      <c r="AC197" s="1">
        <v>128.9</v>
      </c>
      <c r="AD197" s="1">
        <v>135.4</v>
      </c>
    </row>
    <row r="198" spans="1:30" x14ac:dyDescent="0.3">
      <c r="A198" s="1" t="s">
        <v>34</v>
      </c>
      <c r="B198" s="1">
        <v>2018</v>
      </c>
      <c r="C198" s="1" t="s">
        <v>40</v>
      </c>
      <c r="D198" s="1">
        <v>136.6</v>
      </c>
      <c r="E198" s="1">
        <v>146.6</v>
      </c>
      <c r="F198" s="1">
        <v>133.6</v>
      </c>
      <c r="G198" s="1">
        <v>142.1</v>
      </c>
      <c r="H198" s="1">
        <v>121</v>
      </c>
      <c r="I198" s="1">
        <v>154.6</v>
      </c>
      <c r="J198" s="1">
        <v>135.6</v>
      </c>
      <c r="K198" s="1">
        <v>122.3</v>
      </c>
      <c r="L198" s="1">
        <v>109.6</v>
      </c>
      <c r="M198" s="1">
        <v>138.1</v>
      </c>
      <c r="N198" s="1">
        <v>129.9</v>
      </c>
      <c r="O198" s="1">
        <v>151.69999999999999</v>
      </c>
      <c r="P198" s="1">
        <v>138.1</v>
      </c>
      <c r="Q198" s="1">
        <v>157.9</v>
      </c>
      <c r="R198" s="1">
        <v>146</v>
      </c>
      <c r="S198" s="1">
        <v>137.4</v>
      </c>
      <c r="T198" s="1">
        <v>144.69999999999999</v>
      </c>
      <c r="U198" s="1" t="s">
        <v>107</v>
      </c>
      <c r="V198" s="1">
        <v>136.9</v>
      </c>
      <c r="W198" s="1">
        <v>137.4</v>
      </c>
      <c r="X198" s="1">
        <v>136</v>
      </c>
      <c r="Y198" s="1">
        <v>122.9</v>
      </c>
      <c r="Z198" s="1">
        <v>131.80000000000001</v>
      </c>
      <c r="AA198" s="1">
        <v>142.1</v>
      </c>
      <c r="AB198" s="1">
        <v>129.9</v>
      </c>
      <c r="AC198" s="1">
        <v>132.1</v>
      </c>
      <c r="AD198" s="1">
        <v>137.80000000000001</v>
      </c>
    </row>
    <row r="199" spans="1:30" x14ac:dyDescent="0.3">
      <c r="A199" s="1" t="s">
        <v>30</v>
      </c>
      <c r="B199" s="1">
        <v>2018</v>
      </c>
      <c r="C199" s="1" t="s">
        <v>41</v>
      </c>
      <c r="D199" s="1">
        <v>137.6</v>
      </c>
      <c r="E199" s="1">
        <v>148.1</v>
      </c>
      <c r="F199" s="1">
        <v>136.69999999999999</v>
      </c>
      <c r="G199" s="1">
        <v>143.19999999999999</v>
      </c>
      <c r="H199" s="1">
        <v>124</v>
      </c>
      <c r="I199" s="1">
        <v>154.1</v>
      </c>
      <c r="J199" s="1">
        <v>143.5</v>
      </c>
      <c r="K199" s="1">
        <v>126</v>
      </c>
      <c r="L199" s="1">
        <v>112.4</v>
      </c>
      <c r="M199" s="1">
        <v>137.6</v>
      </c>
      <c r="N199" s="1">
        <v>132.80000000000001</v>
      </c>
      <c r="O199" s="1">
        <v>154.30000000000001</v>
      </c>
      <c r="P199" s="1">
        <v>140</v>
      </c>
      <c r="Q199" s="1">
        <v>157.30000000000001</v>
      </c>
      <c r="R199" s="1">
        <v>151.30000000000001</v>
      </c>
      <c r="S199" s="1">
        <v>144.69999999999999</v>
      </c>
      <c r="T199" s="1">
        <v>150.30000000000001</v>
      </c>
      <c r="U199" s="1" t="s">
        <v>108</v>
      </c>
      <c r="V199" s="1">
        <v>145.1</v>
      </c>
      <c r="W199" s="1">
        <v>142.19999999999999</v>
      </c>
      <c r="X199" s="1">
        <v>138.4</v>
      </c>
      <c r="Y199" s="1">
        <v>127.4</v>
      </c>
      <c r="Z199" s="1">
        <v>137.80000000000001</v>
      </c>
      <c r="AA199" s="1">
        <v>145.1</v>
      </c>
      <c r="AB199" s="1">
        <v>131.4</v>
      </c>
      <c r="AC199" s="1">
        <v>135.6</v>
      </c>
      <c r="AD199" s="1">
        <v>140.5</v>
      </c>
    </row>
    <row r="200" spans="1:30" x14ac:dyDescent="0.3">
      <c r="A200" s="1" t="s">
        <v>32</v>
      </c>
      <c r="B200" s="1">
        <v>2018</v>
      </c>
      <c r="C200" s="1" t="s">
        <v>41</v>
      </c>
      <c r="D200" s="1">
        <v>135.30000000000001</v>
      </c>
      <c r="E200" s="1">
        <v>149.69999999999999</v>
      </c>
      <c r="F200" s="1">
        <v>133.9</v>
      </c>
      <c r="G200" s="1">
        <v>140.80000000000001</v>
      </c>
      <c r="H200" s="1">
        <v>116.6</v>
      </c>
      <c r="I200" s="1">
        <v>152.19999999999999</v>
      </c>
      <c r="J200" s="1">
        <v>144</v>
      </c>
      <c r="K200" s="1">
        <v>112.3</v>
      </c>
      <c r="L200" s="1">
        <v>108.4</v>
      </c>
      <c r="M200" s="1">
        <v>140</v>
      </c>
      <c r="N200" s="1">
        <v>126.7</v>
      </c>
      <c r="O200" s="1">
        <v>149</v>
      </c>
      <c r="P200" s="1">
        <v>138.4</v>
      </c>
      <c r="Q200" s="1">
        <v>161</v>
      </c>
      <c r="R200" s="1">
        <v>138.9</v>
      </c>
      <c r="S200" s="1">
        <v>128.69999999999999</v>
      </c>
      <c r="T200" s="1">
        <v>137.4</v>
      </c>
      <c r="U200" s="1" t="s">
        <v>108</v>
      </c>
      <c r="V200" s="1">
        <v>126.5</v>
      </c>
      <c r="W200" s="1">
        <v>133.1</v>
      </c>
      <c r="X200" s="1">
        <v>132.6</v>
      </c>
      <c r="Y200" s="1">
        <v>120.4</v>
      </c>
      <c r="Z200" s="1">
        <v>128.5</v>
      </c>
      <c r="AA200" s="1">
        <v>141.19999999999999</v>
      </c>
      <c r="AB200" s="1">
        <v>128.19999999999999</v>
      </c>
      <c r="AC200" s="1">
        <v>129.5</v>
      </c>
      <c r="AD200" s="1">
        <v>136.19999999999999</v>
      </c>
    </row>
    <row r="201" spans="1:30" x14ac:dyDescent="0.3">
      <c r="A201" s="1" t="s">
        <v>34</v>
      </c>
      <c r="B201" s="1">
        <v>2018</v>
      </c>
      <c r="C201" s="1" t="s">
        <v>41</v>
      </c>
      <c r="D201" s="1">
        <v>136.9</v>
      </c>
      <c r="E201" s="1">
        <v>148.69999999999999</v>
      </c>
      <c r="F201" s="1">
        <v>135.6</v>
      </c>
      <c r="G201" s="1">
        <v>142.30000000000001</v>
      </c>
      <c r="H201" s="1">
        <v>121.3</v>
      </c>
      <c r="I201" s="1">
        <v>153.19999999999999</v>
      </c>
      <c r="J201" s="1">
        <v>143.69999999999999</v>
      </c>
      <c r="K201" s="1">
        <v>121.4</v>
      </c>
      <c r="L201" s="1">
        <v>111.1</v>
      </c>
      <c r="M201" s="1">
        <v>138.4</v>
      </c>
      <c r="N201" s="1">
        <v>130.30000000000001</v>
      </c>
      <c r="O201" s="1">
        <v>151.80000000000001</v>
      </c>
      <c r="P201" s="1">
        <v>139.4</v>
      </c>
      <c r="Q201" s="1">
        <v>158.30000000000001</v>
      </c>
      <c r="R201" s="1">
        <v>146.4</v>
      </c>
      <c r="S201" s="1">
        <v>138.1</v>
      </c>
      <c r="T201" s="1">
        <v>145.19999999999999</v>
      </c>
      <c r="U201" s="1" t="s">
        <v>108</v>
      </c>
      <c r="V201" s="1">
        <v>138.1</v>
      </c>
      <c r="W201" s="1">
        <v>137.9</v>
      </c>
      <c r="X201" s="1">
        <v>136.19999999999999</v>
      </c>
      <c r="Y201" s="1">
        <v>123.7</v>
      </c>
      <c r="Z201" s="1">
        <v>132.6</v>
      </c>
      <c r="AA201" s="1">
        <v>142.80000000000001</v>
      </c>
      <c r="AB201" s="1">
        <v>130.1</v>
      </c>
      <c r="AC201" s="1">
        <v>132.6</v>
      </c>
      <c r="AD201" s="1">
        <v>138.5</v>
      </c>
    </row>
    <row r="202" spans="1:30" x14ac:dyDescent="0.3">
      <c r="A202" s="1" t="s">
        <v>30</v>
      </c>
      <c r="B202" s="1">
        <v>2018</v>
      </c>
      <c r="C202" s="1" t="s">
        <v>43</v>
      </c>
      <c r="D202" s="1">
        <v>138.4</v>
      </c>
      <c r="E202" s="1">
        <v>149.30000000000001</v>
      </c>
      <c r="F202" s="1">
        <v>139.30000000000001</v>
      </c>
      <c r="G202" s="1">
        <v>143.4</v>
      </c>
      <c r="H202" s="1">
        <v>124.1</v>
      </c>
      <c r="I202" s="1">
        <v>153.30000000000001</v>
      </c>
      <c r="J202" s="1">
        <v>154.19999999999999</v>
      </c>
      <c r="K202" s="1">
        <v>126.4</v>
      </c>
      <c r="L202" s="1">
        <v>114.3</v>
      </c>
      <c r="M202" s="1">
        <v>138.19999999999999</v>
      </c>
      <c r="N202" s="1">
        <v>132.80000000000001</v>
      </c>
      <c r="O202" s="1">
        <v>154.80000000000001</v>
      </c>
      <c r="P202" s="1">
        <v>142</v>
      </c>
      <c r="Q202" s="1">
        <v>156.1</v>
      </c>
      <c r="R202" s="1">
        <v>151.5</v>
      </c>
      <c r="S202" s="1">
        <v>145.1</v>
      </c>
      <c r="T202" s="1">
        <v>150.6</v>
      </c>
      <c r="U202" s="1" t="s">
        <v>109</v>
      </c>
      <c r="V202" s="1">
        <v>146.80000000000001</v>
      </c>
      <c r="W202" s="1">
        <v>143.1</v>
      </c>
      <c r="X202" s="1">
        <v>139</v>
      </c>
      <c r="Y202" s="1">
        <v>127.5</v>
      </c>
      <c r="Z202" s="1">
        <v>138.4</v>
      </c>
      <c r="AA202" s="1">
        <v>145.80000000000001</v>
      </c>
      <c r="AB202" s="1">
        <v>131.4</v>
      </c>
      <c r="AC202" s="1">
        <v>136</v>
      </c>
      <c r="AD202" s="1">
        <v>141.80000000000001</v>
      </c>
    </row>
    <row r="203" spans="1:30" x14ac:dyDescent="0.3">
      <c r="A203" s="1" t="s">
        <v>32</v>
      </c>
      <c r="B203" s="1">
        <v>2018</v>
      </c>
      <c r="C203" s="1" t="s">
        <v>43</v>
      </c>
      <c r="D203" s="1">
        <v>135.6</v>
      </c>
      <c r="E203" s="1">
        <v>148.6</v>
      </c>
      <c r="F203" s="1">
        <v>139.1</v>
      </c>
      <c r="G203" s="1">
        <v>141</v>
      </c>
      <c r="H203" s="1">
        <v>116.7</v>
      </c>
      <c r="I203" s="1">
        <v>149.69999999999999</v>
      </c>
      <c r="J203" s="1">
        <v>159.19999999999999</v>
      </c>
      <c r="K203" s="1">
        <v>112.6</v>
      </c>
      <c r="L203" s="1">
        <v>111.8</v>
      </c>
      <c r="M203" s="1">
        <v>140.30000000000001</v>
      </c>
      <c r="N203" s="1">
        <v>126.8</v>
      </c>
      <c r="O203" s="1">
        <v>149.4</v>
      </c>
      <c r="P203" s="1">
        <v>140.30000000000001</v>
      </c>
      <c r="Q203" s="1">
        <v>161.4</v>
      </c>
      <c r="R203" s="1">
        <v>139.6</v>
      </c>
      <c r="S203" s="1">
        <v>128.9</v>
      </c>
      <c r="T203" s="1">
        <v>137.9</v>
      </c>
      <c r="U203" s="1" t="s">
        <v>109</v>
      </c>
      <c r="V203" s="1">
        <v>128.1</v>
      </c>
      <c r="W203" s="1">
        <v>133.6</v>
      </c>
      <c r="X203" s="1">
        <v>133.6</v>
      </c>
      <c r="Y203" s="1">
        <v>120.1</v>
      </c>
      <c r="Z203" s="1">
        <v>129</v>
      </c>
      <c r="AA203" s="1">
        <v>144</v>
      </c>
      <c r="AB203" s="1">
        <v>128.19999999999999</v>
      </c>
      <c r="AC203" s="1">
        <v>130.19999999999999</v>
      </c>
      <c r="AD203" s="1">
        <v>137.5</v>
      </c>
    </row>
    <row r="204" spans="1:30" x14ac:dyDescent="0.3">
      <c r="A204" s="1" t="s">
        <v>34</v>
      </c>
      <c r="B204" s="1">
        <v>2018</v>
      </c>
      <c r="C204" s="1" t="s">
        <v>43</v>
      </c>
      <c r="D204" s="1">
        <v>137.5</v>
      </c>
      <c r="E204" s="1">
        <v>149.1</v>
      </c>
      <c r="F204" s="1">
        <v>139.19999999999999</v>
      </c>
      <c r="G204" s="1">
        <v>142.5</v>
      </c>
      <c r="H204" s="1">
        <v>121.4</v>
      </c>
      <c r="I204" s="1">
        <v>151.6</v>
      </c>
      <c r="J204" s="1">
        <v>155.9</v>
      </c>
      <c r="K204" s="1">
        <v>121.7</v>
      </c>
      <c r="L204" s="1">
        <v>113.5</v>
      </c>
      <c r="M204" s="1">
        <v>138.9</v>
      </c>
      <c r="N204" s="1">
        <v>130.30000000000001</v>
      </c>
      <c r="O204" s="1">
        <v>152.30000000000001</v>
      </c>
      <c r="P204" s="1">
        <v>141.4</v>
      </c>
      <c r="Q204" s="1">
        <v>157.5</v>
      </c>
      <c r="R204" s="1">
        <v>146.80000000000001</v>
      </c>
      <c r="S204" s="1">
        <v>138.4</v>
      </c>
      <c r="T204" s="1">
        <v>145.6</v>
      </c>
      <c r="U204" s="1" t="s">
        <v>109</v>
      </c>
      <c r="V204" s="1">
        <v>139.69999999999999</v>
      </c>
      <c r="W204" s="1">
        <v>138.6</v>
      </c>
      <c r="X204" s="1">
        <v>137</v>
      </c>
      <c r="Y204" s="1">
        <v>123.6</v>
      </c>
      <c r="Z204" s="1">
        <v>133.1</v>
      </c>
      <c r="AA204" s="1">
        <v>144.69999999999999</v>
      </c>
      <c r="AB204" s="1">
        <v>130.1</v>
      </c>
      <c r="AC204" s="1">
        <v>133.19999999999999</v>
      </c>
      <c r="AD204" s="1">
        <v>139.80000000000001</v>
      </c>
    </row>
    <row r="205" spans="1:30" x14ac:dyDescent="0.3">
      <c r="A205" s="1" t="s">
        <v>30</v>
      </c>
      <c r="B205" s="1">
        <v>2018</v>
      </c>
      <c r="C205" s="1" t="s">
        <v>45</v>
      </c>
      <c r="D205" s="1">
        <v>139.19999999999999</v>
      </c>
      <c r="E205" s="1">
        <v>148.80000000000001</v>
      </c>
      <c r="F205" s="1">
        <v>139.1</v>
      </c>
      <c r="G205" s="1">
        <v>143.5</v>
      </c>
      <c r="H205" s="1">
        <v>125</v>
      </c>
      <c r="I205" s="1">
        <v>154.4</v>
      </c>
      <c r="J205" s="1">
        <v>156.30000000000001</v>
      </c>
      <c r="K205" s="1">
        <v>126.8</v>
      </c>
      <c r="L205" s="1">
        <v>115.4</v>
      </c>
      <c r="M205" s="1">
        <v>138.6</v>
      </c>
      <c r="N205" s="1">
        <v>133.80000000000001</v>
      </c>
      <c r="O205" s="1">
        <v>155.19999999999999</v>
      </c>
      <c r="P205" s="1">
        <v>142.69999999999999</v>
      </c>
      <c r="Q205" s="1">
        <v>156.4</v>
      </c>
      <c r="R205" s="1">
        <v>152.1</v>
      </c>
      <c r="S205" s="1">
        <v>145.80000000000001</v>
      </c>
      <c r="T205" s="1">
        <v>151.30000000000001</v>
      </c>
      <c r="U205" s="1" t="s">
        <v>110</v>
      </c>
      <c r="V205" s="1">
        <v>147.69999999999999</v>
      </c>
      <c r="W205" s="1">
        <v>143.80000000000001</v>
      </c>
      <c r="X205" s="1">
        <v>139.4</v>
      </c>
      <c r="Y205" s="1">
        <v>128.30000000000001</v>
      </c>
      <c r="Z205" s="1">
        <v>138.6</v>
      </c>
      <c r="AA205" s="1">
        <v>146.9</v>
      </c>
      <c r="AB205" s="1">
        <v>131.30000000000001</v>
      </c>
      <c r="AC205" s="1">
        <v>136.6</v>
      </c>
      <c r="AD205" s="1">
        <v>142.5</v>
      </c>
    </row>
    <row r="206" spans="1:30" x14ac:dyDescent="0.3">
      <c r="A206" s="1" t="s">
        <v>32</v>
      </c>
      <c r="B206" s="1">
        <v>2018</v>
      </c>
      <c r="C206" s="1" t="s">
        <v>45</v>
      </c>
      <c r="D206" s="1">
        <v>136.5</v>
      </c>
      <c r="E206" s="1">
        <v>146.4</v>
      </c>
      <c r="F206" s="1">
        <v>136.6</v>
      </c>
      <c r="G206" s="1">
        <v>141.19999999999999</v>
      </c>
      <c r="H206" s="1">
        <v>117.4</v>
      </c>
      <c r="I206" s="1">
        <v>146.30000000000001</v>
      </c>
      <c r="J206" s="1">
        <v>157.30000000000001</v>
      </c>
      <c r="K206" s="1">
        <v>113.6</v>
      </c>
      <c r="L206" s="1">
        <v>113.3</v>
      </c>
      <c r="M206" s="1">
        <v>141.1</v>
      </c>
      <c r="N206" s="1">
        <v>127.4</v>
      </c>
      <c r="O206" s="1">
        <v>150.4</v>
      </c>
      <c r="P206" s="1">
        <v>140.1</v>
      </c>
      <c r="Q206" s="1">
        <v>162.1</v>
      </c>
      <c r="R206" s="1">
        <v>140</v>
      </c>
      <c r="S206" s="1">
        <v>129</v>
      </c>
      <c r="T206" s="1">
        <v>138.30000000000001</v>
      </c>
      <c r="U206" s="1" t="s">
        <v>110</v>
      </c>
      <c r="V206" s="1">
        <v>129.80000000000001</v>
      </c>
      <c r="W206" s="1">
        <v>134.4</v>
      </c>
      <c r="X206" s="1">
        <v>134.9</v>
      </c>
      <c r="Y206" s="1">
        <v>120.7</v>
      </c>
      <c r="Z206" s="1">
        <v>129.80000000000001</v>
      </c>
      <c r="AA206" s="1">
        <v>145.30000000000001</v>
      </c>
      <c r="AB206" s="1">
        <v>128.30000000000001</v>
      </c>
      <c r="AC206" s="1">
        <v>131</v>
      </c>
      <c r="AD206" s="1">
        <v>138</v>
      </c>
    </row>
    <row r="207" spans="1:30" x14ac:dyDescent="0.3">
      <c r="A207" s="1" t="s">
        <v>34</v>
      </c>
      <c r="B207" s="1">
        <v>2018</v>
      </c>
      <c r="C207" s="1" t="s">
        <v>45</v>
      </c>
      <c r="D207" s="1">
        <v>138.30000000000001</v>
      </c>
      <c r="E207" s="1">
        <v>148</v>
      </c>
      <c r="F207" s="1">
        <v>138.1</v>
      </c>
      <c r="G207" s="1">
        <v>142.6</v>
      </c>
      <c r="H207" s="1">
        <v>122.2</v>
      </c>
      <c r="I207" s="1">
        <v>150.6</v>
      </c>
      <c r="J207" s="1">
        <v>156.6</v>
      </c>
      <c r="K207" s="1">
        <v>122.4</v>
      </c>
      <c r="L207" s="1">
        <v>114.7</v>
      </c>
      <c r="M207" s="1">
        <v>139.4</v>
      </c>
      <c r="N207" s="1">
        <v>131.1</v>
      </c>
      <c r="O207" s="1">
        <v>153</v>
      </c>
      <c r="P207" s="1">
        <v>141.69999999999999</v>
      </c>
      <c r="Q207" s="1">
        <v>157.9</v>
      </c>
      <c r="R207" s="1">
        <v>147.30000000000001</v>
      </c>
      <c r="S207" s="1">
        <v>138.80000000000001</v>
      </c>
      <c r="T207" s="1">
        <v>146.1</v>
      </c>
      <c r="U207" s="1" t="s">
        <v>110</v>
      </c>
      <c r="V207" s="1">
        <v>140.9</v>
      </c>
      <c r="W207" s="1">
        <v>139.4</v>
      </c>
      <c r="X207" s="1">
        <v>137.69999999999999</v>
      </c>
      <c r="Y207" s="1">
        <v>124.3</v>
      </c>
      <c r="Z207" s="1">
        <v>133.6</v>
      </c>
      <c r="AA207" s="1">
        <v>146</v>
      </c>
      <c r="AB207" s="1">
        <v>130.1</v>
      </c>
      <c r="AC207" s="1">
        <v>133.9</v>
      </c>
      <c r="AD207" s="1">
        <v>140.4</v>
      </c>
    </row>
    <row r="208" spans="1:30" x14ac:dyDescent="0.3">
      <c r="A208" s="1" t="s">
        <v>30</v>
      </c>
      <c r="B208" s="1">
        <v>2018</v>
      </c>
      <c r="C208" s="1" t="s">
        <v>47</v>
      </c>
      <c r="D208" s="1">
        <v>139.4</v>
      </c>
      <c r="E208" s="1">
        <v>147.19999999999999</v>
      </c>
      <c r="F208" s="1">
        <v>136.6</v>
      </c>
      <c r="G208" s="1">
        <v>143.69999999999999</v>
      </c>
      <c r="H208" s="1">
        <v>124.6</v>
      </c>
      <c r="I208" s="1">
        <v>150.1</v>
      </c>
      <c r="J208" s="1">
        <v>149.4</v>
      </c>
      <c r="K208" s="1">
        <v>125.4</v>
      </c>
      <c r="L208" s="1">
        <v>114.4</v>
      </c>
      <c r="M208" s="1">
        <v>138.69999999999999</v>
      </c>
      <c r="N208" s="1">
        <v>133.1</v>
      </c>
      <c r="O208" s="1">
        <v>155.9</v>
      </c>
      <c r="P208" s="1">
        <v>141.30000000000001</v>
      </c>
      <c r="Q208" s="1">
        <v>157.69999999999999</v>
      </c>
      <c r="R208" s="1">
        <v>152.1</v>
      </c>
      <c r="S208" s="1">
        <v>146.1</v>
      </c>
      <c r="T208" s="1">
        <v>151.30000000000001</v>
      </c>
      <c r="U208" s="1" t="s">
        <v>111</v>
      </c>
      <c r="V208" s="1">
        <v>149</v>
      </c>
      <c r="W208" s="1">
        <v>144</v>
      </c>
      <c r="X208" s="1">
        <v>140</v>
      </c>
      <c r="Y208" s="1">
        <v>129.9</v>
      </c>
      <c r="Z208" s="1">
        <v>140</v>
      </c>
      <c r="AA208" s="1">
        <v>147.6</v>
      </c>
      <c r="AB208" s="1">
        <v>132</v>
      </c>
      <c r="AC208" s="1">
        <v>137.4</v>
      </c>
      <c r="AD208" s="1">
        <v>142.1</v>
      </c>
    </row>
    <row r="209" spans="1:30" x14ac:dyDescent="0.3">
      <c r="A209" s="1" t="s">
        <v>32</v>
      </c>
      <c r="B209" s="1">
        <v>2018</v>
      </c>
      <c r="C209" s="1" t="s">
        <v>47</v>
      </c>
      <c r="D209" s="1">
        <v>137</v>
      </c>
      <c r="E209" s="1">
        <v>143.1</v>
      </c>
      <c r="F209" s="1">
        <v>132.80000000000001</v>
      </c>
      <c r="G209" s="1">
        <v>141.5</v>
      </c>
      <c r="H209" s="1">
        <v>117.8</v>
      </c>
      <c r="I209" s="1">
        <v>140</v>
      </c>
      <c r="J209" s="1">
        <v>151.30000000000001</v>
      </c>
      <c r="K209" s="1">
        <v>113.5</v>
      </c>
      <c r="L209" s="1">
        <v>112.3</v>
      </c>
      <c r="M209" s="1">
        <v>141.19999999999999</v>
      </c>
      <c r="N209" s="1">
        <v>127.7</v>
      </c>
      <c r="O209" s="1">
        <v>151.30000000000001</v>
      </c>
      <c r="P209" s="1">
        <v>138.9</v>
      </c>
      <c r="Q209" s="1">
        <v>163.30000000000001</v>
      </c>
      <c r="R209" s="1">
        <v>140.80000000000001</v>
      </c>
      <c r="S209" s="1">
        <v>129.30000000000001</v>
      </c>
      <c r="T209" s="1">
        <v>139.1</v>
      </c>
      <c r="U209" s="1" t="s">
        <v>111</v>
      </c>
      <c r="V209" s="1">
        <v>131.19999999999999</v>
      </c>
      <c r="W209" s="1">
        <v>134.9</v>
      </c>
      <c r="X209" s="1">
        <v>135.69999999999999</v>
      </c>
      <c r="Y209" s="1">
        <v>122.5</v>
      </c>
      <c r="Z209" s="1">
        <v>130.19999999999999</v>
      </c>
      <c r="AA209" s="1">
        <v>145.19999999999999</v>
      </c>
      <c r="AB209" s="1">
        <v>129.30000000000001</v>
      </c>
      <c r="AC209" s="1">
        <v>131.9</v>
      </c>
      <c r="AD209" s="1">
        <v>138.1</v>
      </c>
    </row>
    <row r="210" spans="1:30" x14ac:dyDescent="0.3">
      <c r="A210" s="1" t="s">
        <v>34</v>
      </c>
      <c r="B210" s="1">
        <v>2018</v>
      </c>
      <c r="C210" s="1" t="s">
        <v>47</v>
      </c>
      <c r="D210" s="1">
        <v>138.6</v>
      </c>
      <c r="E210" s="1">
        <v>145.80000000000001</v>
      </c>
      <c r="F210" s="1">
        <v>135.1</v>
      </c>
      <c r="G210" s="1">
        <v>142.9</v>
      </c>
      <c r="H210" s="1">
        <v>122.1</v>
      </c>
      <c r="I210" s="1">
        <v>145.4</v>
      </c>
      <c r="J210" s="1">
        <v>150</v>
      </c>
      <c r="K210" s="1">
        <v>121.4</v>
      </c>
      <c r="L210" s="1">
        <v>113.7</v>
      </c>
      <c r="M210" s="1">
        <v>139.5</v>
      </c>
      <c r="N210" s="1">
        <v>130.80000000000001</v>
      </c>
      <c r="O210" s="1">
        <v>153.80000000000001</v>
      </c>
      <c r="P210" s="1">
        <v>140.4</v>
      </c>
      <c r="Q210" s="1">
        <v>159.19999999999999</v>
      </c>
      <c r="R210" s="1">
        <v>147.69999999999999</v>
      </c>
      <c r="S210" s="1">
        <v>139.1</v>
      </c>
      <c r="T210" s="1">
        <v>146.5</v>
      </c>
      <c r="U210" s="1" t="s">
        <v>111</v>
      </c>
      <c r="V210" s="1">
        <v>142.30000000000001</v>
      </c>
      <c r="W210" s="1">
        <v>139.69999999999999</v>
      </c>
      <c r="X210" s="1">
        <v>138.4</v>
      </c>
      <c r="Y210" s="1">
        <v>126</v>
      </c>
      <c r="Z210" s="1">
        <v>134.5</v>
      </c>
      <c r="AA210" s="1">
        <v>146.19999999999999</v>
      </c>
      <c r="AB210" s="1">
        <v>130.9</v>
      </c>
      <c r="AC210" s="1">
        <v>134.69999999999999</v>
      </c>
      <c r="AD210" s="1">
        <v>140.19999999999999</v>
      </c>
    </row>
    <row r="211" spans="1:30" x14ac:dyDescent="0.3">
      <c r="A211" s="1" t="s">
        <v>30</v>
      </c>
      <c r="B211" s="1">
        <v>2018</v>
      </c>
      <c r="C211" s="1" t="s">
        <v>49</v>
      </c>
      <c r="D211" s="1">
        <v>139.30000000000001</v>
      </c>
      <c r="E211" s="1">
        <v>147.6</v>
      </c>
      <c r="F211" s="1">
        <v>134.6</v>
      </c>
      <c r="G211" s="1">
        <v>141.9</v>
      </c>
      <c r="H211" s="1">
        <v>123.5</v>
      </c>
      <c r="I211" s="1">
        <v>144.5</v>
      </c>
      <c r="J211" s="1">
        <v>147.6</v>
      </c>
      <c r="K211" s="1">
        <v>121.4</v>
      </c>
      <c r="L211" s="1">
        <v>112.3</v>
      </c>
      <c r="M211" s="1">
        <v>139.5</v>
      </c>
      <c r="N211" s="1">
        <v>134.6</v>
      </c>
      <c r="O211" s="1">
        <v>155.19999999999999</v>
      </c>
      <c r="P211" s="1">
        <v>140.19999999999999</v>
      </c>
      <c r="Q211" s="1">
        <v>159.6</v>
      </c>
      <c r="R211" s="1">
        <v>150.69999999999999</v>
      </c>
      <c r="S211" s="1">
        <v>144.5</v>
      </c>
      <c r="T211" s="1">
        <v>149.80000000000001</v>
      </c>
      <c r="U211" s="1" t="s">
        <v>112</v>
      </c>
      <c r="V211" s="1">
        <v>149.69999999999999</v>
      </c>
      <c r="W211" s="1">
        <v>147.5</v>
      </c>
      <c r="X211" s="1">
        <v>144.80000000000001</v>
      </c>
      <c r="Y211" s="1">
        <v>130.80000000000001</v>
      </c>
      <c r="Z211" s="1">
        <v>140.1</v>
      </c>
      <c r="AA211" s="1">
        <v>148</v>
      </c>
      <c r="AB211" s="1">
        <v>134.4</v>
      </c>
      <c r="AC211" s="1">
        <v>139.80000000000001</v>
      </c>
      <c r="AD211" s="1">
        <v>142.19999999999999</v>
      </c>
    </row>
    <row r="212" spans="1:30" x14ac:dyDescent="0.3">
      <c r="A212" s="1" t="s">
        <v>32</v>
      </c>
      <c r="B212" s="1">
        <v>2018</v>
      </c>
      <c r="C212" s="1" t="s">
        <v>49</v>
      </c>
      <c r="D212" s="1">
        <v>137.6</v>
      </c>
      <c r="E212" s="1">
        <v>144.9</v>
      </c>
      <c r="F212" s="1">
        <v>133.5</v>
      </c>
      <c r="G212" s="1">
        <v>141.5</v>
      </c>
      <c r="H212" s="1">
        <v>118</v>
      </c>
      <c r="I212" s="1">
        <v>139.5</v>
      </c>
      <c r="J212" s="1">
        <v>153</v>
      </c>
      <c r="K212" s="1">
        <v>113.2</v>
      </c>
      <c r="L212" s="1">
        <v>112.8</v>
      </c>
      <c r="M212" s="1">
        <v>141.1</v>
      </c>
      <c r="N212" s="1">
        <v>127.6</v>
      </c>
      <c r="O212" s="1">
        <v>152</v>
      </c>
      <c r="P212" s="1">
        <v>139.4</v>
      </c>
      <c r="Q212" s="1">
        <v>164</v>
      </c>
      <c r="R212" s="1">
        <v>141.5</v>
      </c>
      <c r="S212" s="1">
        <v>129.80000000000001</v>
      </c>
      <c r="T212" s="1">
        <v>139.69999999999999</v>
      </c>
      <c r="U212" s="1" t="s">
        <v>112</v>
      </c>
      <c r="V212" s="1">
        <v>133.4</v>
      </c>
      <c r="W212" s="1">
        <v>135.1</v>
      </c>
      <c r="X212" s="1">
        <v>136.19999999999999</v>
      </c>
      <c r="Y212" s="1">
        <v>123.3</v>
      </c>
      <c r="Z212" s="1">
        <v>130.69999999999999</v>
      </c>
      <c r="AA212" s="1">
        <v>145.5</v>
      </c>
      <c r="AB212" s="1">
        <v>130.4</v>
      </c>
      <c r="AC212" s="1">
        <v>132.5</v>
      </c>
      <c r="AD212" s="1">
        <v>138.9</v>
      </c>
    </row>
    <row r="213" spans="1:30" x14ac:dyDescent="0.3">
      <c r="A213" s="1" t="s">
        <v>34</v>
      </c>
      <c r="B213" s="1">
        <v>2018</v>
      </c>
      <c r="C213" s="1" t="s">
        <v>49</v>
      </c>
      <c r="D213" s="1">
        <v>137.4</v>
      </c>
      <c r="E213" s="1">
        <v>149.5</v>
      </c>
      <c r="F213" s="1">
        <v>137.30000000000001</v>
      </c>
      <c r="G213" s="1">
        <v>141.9</v>
      </c>
      <c r="H213" s="1">
        <v>121.1</v>
      </c>
      <c r="I213" s="1">
        <v>142.5</v>
      </c>
      <c r="J213" s="1">
        <v>146.69999999999999</v>
      </c>
      <c r="K213" s="1">
        <v>119.1</v>
      </c>
      <c r="L213" s="1">
        <v>111.9</v>
      </c>
      <c r="M213" s="1">
        <v>141</v>
      </c>
      <c r="N213" s="1">
        <v>133.6</v>
      </c>
      <c r="O213" s="1">
        <v>154.5</v>
      </c>
      <c r="P213" s="1">
        <v>139.69999999999999</v>
      </c>
      <c r="Q213" s="1">
        <v>162.6</v>
      </c>
      <c r="R213" s="1">
        <v>148</v>
      </c>
      <c r="S213" s="1">
        <v>139.19999999999999</v>
      </c>
      <c r="T213" s="1">
        <v>146.80000000000001</v>
      </c>
      <c r="U213" s="1" t="s">
        <v>113</v>
      </c>
      <c r="V213" s="1">
        <v>145.30000000000001</v>
      </c>
      <c r="W213" s="1">
        <v>142.19999999999999</v>
      </c>
      <c r="X213" s="1">
        <v>142.1</v>
      </c>
      <c r="Y213" s="1">
        <v>125.5</v>
      </c>
      <c r="Z213" s="1">
        <v>136.5</v>
      </c>
      <c r="AA213" s="1">
        <v>147.80000000000001</v>
      </c>
      <c r="AB213" s="1">
        <v>132</v>
      </c>
      <c r="AC213" s="1">
        <v>136.30000000000001</v>
      </c>
      <c r="AD213" s="1">
        <v>140.80000000000001</v>
      </c>
    </row>
    <row r="214" spans="1:30" x14ac:dyDescent="0.3">
      <c r="A214" s="1" t="s">
        <v>30</v>
      </c>
      <c r="B214" s="1">
        <v>2018</v>
      </c>
      <c r="C214" s="1" t="s">
        <v>52</v>
      </c>
      <c r="D214" s="1">
        <v>137.1</v>
      </c>
      <c r="E214" s="1">
        <v>150.80000000000001</v>
      </c>
      <c r="F214" s="1">
        <v>136.69999999999999</v>
      </c>
      <c r="G214" s="1">
        <v>141.9</v>
      </c>
      <c r="H214" s="1">
        <v>122.8</v>
      </c>
      <c r="I214" s="1">
        <v>143.9</v>
      </c>
      <c r="J214" s="1">
        <v>147.5</v>
      </c>
      <c r="K214" s="1">
        <v>121</v>
      </c>
      <c r="L214" s="1">
        <v>111.6</v>
      </c>
      <c r="M214" s="1">
        <v>140.6</v>
      </c>
      <c r="N214" s="1">
        <v>137.5</v>
      </c>
      <c r="O214" s="1">
        <v>156.1</v>
      </c>
      <c r="P214" s="1">
        <v>140</v>
      </c>
      <c r="Q214" s="1">
        <v>161.9</v>
      </c>
      <c r="R214" s="1">
        <v>151.69999999999999</v>
      </c>
      <c r="S214" s="1">
        <v>145.5</v>
      </c>
      <c r="T214" s="1">
        <v>150.80000000000001</v>
      </c>
      <c r="U214" s="1" t="s">
        <v>113</v>
      </c>
      <c r="V214" s="1">
        <v>150.30000000000001</v>
      </c>
      <c r="W214" s="1">
        <v>148</v>
      </c>
      <c r="X214" s="1">
        <v>145.4</v>
      </c>
      <c r="Y214" s="1">
        <v>130.30000000000001</v>
      </c>
      <c r="Z214" s="1">
        <v>143.1</v>
      </c>
      <c r="AA214" s="1">
        <v>150.19999999999999</v>
      </c>
      <c r="AB214" s="1">
        <v>133.1</v>
      </c>
      <c r="AC214" s="1">
        <v>140.1</v>
      </c>
      <c r="AD214" s="1">
        <v>142.4</v>
      </c>
    </row>
    <row r="215" spans="1:30" x14ac:dyDescent="0.3">
      <c r="A215" s="1" t="s">
        <v>32</v>
      </c>
      <c r="B215" s="1">
        <v>2018</v>
      </c>
      <c r="C215" s="1" t="s">
        <v>52</v>
      </c>
      <c r="D215" s="1">
        <v>138.1</v>
      </c>
      <c r="E215" s="1">
        <v>146.30000000000001</v>
      </c>
      <c r="F215" s="1">
        <v>137.80000000000001</v>
      </c>
      <c r="G215" s="1">
        <v>141.6</v>
      </c>
      <c r="H215" s="1">
        <v>118.1</v>
      </c>
      <c r="I215" s="1">
        <v>141.5</v>
      </c>
      <c r="J215" s="1">
        <v>145.19999999999999</v>
      </c>
      <c r="K215" s="1">
        <v>115.3</v>
      </c>
      <c r="L215" s="1">
        <v>112.5</v>
      </c>
      <c r="M215" s="1">
        <v>141.4</v>
      </c>
      <c r="N215" s="1">
        <v>128</v>
      </c>
      <c r="O215" s="1">
        <v>152.6</v>
      </c>
      <c r="P215" s="1">
        <v>139.1</v>
      </c>
      <c r="Q215" s="1">
        <v>164.4</v>
      </c>
      <c r="R215" s="1">
        <v>142.4</v>
      </c>
      <c r="S215" s="1">
        <v>130.19999999999999</v>
      </c>
      <c r="T215" s="1">
        <v>140.5</v>
      </c>
      <c r="U215" s="1" t="s">
        <v>113</v>
      </c>
      <c r="V215" s="1">
        <v>136.69999999999999</v>
      </c>
      <c r="W215" s="1">
        <v>135.80000000000001</v>
      </c>
      <c r="X215" s="1">
        <v>136.80000000000001</v>
      </c>
      <c r="Y215" s="1">
        <v>121.2</v>
      </c>
      <c r="Z215" s="1">
        <v>131.30000000000001</v>
      </c>
      <c r="AA215" s="1">
        <v>146.1</v>
      </c>
      <c r="AB215" s="1">
        <v>130.5</v>
      </c>
      <c r="AC215" s="1">
        <v>132.19999999999999</v>
      </c>
      <c r="AD215" s="1">
        <v>139</v>
      </c>
    </row>
    <row r="216" spans="1:30" x14ac:dyDescent="0.3">
      <c r="A216" s="1" t="s">
        <v>34</v>
      </c>
      <c r="B216" s="1">
        <v>2018</v>
      </c>
      <c r="C216" s="1" t="s">
        <v>52</v>
      </c>
      <c r="D216" s="1">
        <v>137.4</v>
      </c>
      <c r="E216" s="1">
        <v>149.19999999999999</v>
      </c>
      <c r="F216" s="1">
        <v>137.1</v>
      </c>
      <c r="G216" s="1">
        <v>141.80000000000001</v>
      </c>
      <c r="H216" s="1">
        <v>121.1</v>
      </c>
      <c r="I216" s="1">
        <v>142.80000000000001</v>
      </c>
      <c r="J216" s="1">
        <v>146.69999999999999</v>
      </c>
      <c r="K216" s="1">
        <v>119.1</v>
      </c>
      <c r="L216" s="1">
        <v>111.9</v>
      </c>
      <c r="M216" s="1">
        <v>140.9</v>
      </c>
      <c r="N216" s="1">
        <v>133.5</v>
      </c>
      <c r="O216" s="1">
        <v>154.5</v>
      </c>
      <c r="P216" s="1">
        <v>139.69999999999999</v>
      </c>
      <c r="Q216" s="1">
        <v>162.6</v>
      </c>
      <c r="R216" s="1">
        <v>148</v>
      </c>
      <c r="S216" s="1">
        <v>139.1</v>
      </c>
      <c r="T216" s="1">
        <v>146.69999999999999</v>
      </c>
      <c r="U216" s="1" t="s">
        <v>113</v>
      </c>
      <c r="V216" s="1">
        <v>145.1</v>
      </c>
      <c r="W216" s="1">
        <v>142.19999999999999</v>
      </c>
      <c r="X216" s="1">
        <v>142.1</v>
      </c>
      <c r="Y216" s="1">
        <v>125.5</v>
      </c>
      <c r="Z216" s="1">
        <v>136.5</v>
      </c>
      <c r="AA216" s="1">
        <v>147.80000000000001</v>
      </c>
      <c r="AB216" s="1">
        <v>132</v>
      </c>
      <c r="AC216" s="1">
        <v>136.30000000000001</v>
      </c>
      <c r="AD216" s="1">
        <v>140.80000000000001</v>
      </c>
    </row>
    <row r="217" spans="1:30" x14ac:dyDescent="0.3">
      <c r="A217" s="1" t="s">
        <v>30</v>
      </c>
      <c r="B217" s="1">
        <v>2018</v>
      </c>
      <c r="C217" s="1" t="s">
        <v>54</v>
      </c>
      <c r="D217" s="1">
        <v>137.1</v>
      </c>
      <c r="E217" s="1">
        <v>151.9</v>
      </c>
      <c r="F217" s="1">
        <v>137.4</v>
      </c>
      <c r="G217" s="1">
        <v>142.4</v>
      </c>
      <c r="H217" s="1">
        <v>124.2</v>
      </c>
      <c r="I217" s="1">
        <v>140.19999999999999</v>
      </c>
      <c r="J217" s="1">
        <v>136.6</v>
      </c>
      <c r="K217" s="1">
        <v>120.9</v>
      </c>
      <c r="L217" s="1">
        <v>109.9</v>
      </c>
      <c r="M217" s="1">
        <v>140.19999999999999</v>
      </c>
      <c r="N217" s="1">
        <v>137.80000000000001</v>
      </c>
      <c r="O217" s="1">
        <v>156</v>
      </c>
      <c r="P217" s="1">
        <v>138.5</v>
      </c>
      <c r="Q217" s="1">
        <v>162.4</v>
      </c>
      <c r="R217" s="1">
        <v>151.6</v>
      </c>
      <c r="S217" s="1">
        <v>145.9</v>
      </c>
      <c r="T217" s="1">
        <v>150.80000000000001</v>
      </c>
      <c r="U217" s="1" t="s">
        <v>114</v>
      </c>
      <c r="V217" s="1">
        <v>149</v>
      </c>
      <c r="W217" s="1">
        <v>149.5</v>
      </c>
      <c r="X217" s="1">
        <v>149.6</v>
      </c>
      <c r="Y217" s="1">
        <v>128.9</v>
      </c>
      <c r="Z217" s="1">
        <v>143.30000000000001</v>
      </c>
      <c r="AA217" s="1">
        <v>155.1</v>
      </c>
      <c r="AB217" s="1">
        <v>133.19999999999999</v>
      </c>
      <c r="AC217" s="1">
        <v>141.6</v>
      </c>
      <c r="AD217" s="1">
        <v>141.9</v>
      </c>
    </row>
    <row r="218" spans="1:30" x14ac:dyDescent="0.3">
      <c r="A218" s="1" t="s">
        <v>32</v>
      </c>
      <c r="B218" s="1">
        <v>2018</v>
      </c>
      <c r="C218" s="1" t="s">
        <v>54</v>
      </c>
      <c r="D218" s="1">
        <v>138.5</v>
      </c>
      <c r="E218" s="1">
        <v>147.80000000000001</v>
      </c>
      <c r="F218" s="1">
        <v>141.1</v>
      </c>
      <c r="G218" s="1">
        <v>141.6</v>
      </c>
      <c r="H218" s="1">
        <v>118.1</v>
      </c>
      <c r="I218" s="1">
        <v>138.5</v>
      </c>
      <c r="J218" s="1">
        <v>132.4</v>
      </c>
      <c r="K218" s="1">
        <v>117.5</v>
      </c>
      <c r="L218" s="1">
        <v>111</v>
      </c>
      <c r="M218" s="1">
        <v>141.5</v>
      </c>
      <c r="N218" s="1">
        <v>128.1</v>
      </c>
      <c r="O218" s="1">
        <v>152.9</v>
      </c>
      <c r="P218" s="1">
        <v>137.6</v>
      </c>
      <c r="Q218" s="1">
        <v>164.6</v>
      </c>
      <c r="R218" s="1">
        <v>142.69999999999999</v>
      </c>
      <c r="S218" s="1">
        <v>130.30000000000001</v>
      </c>
      <c r="T218" s="1">
        <v>140.80000000000001</v>
      </c>
      <c r="U218" s="1" t="s">
        <v>114</v>
      </c>
      <c r="V218" s="1">
        <v>132.4</v>
      </c>
      <c r="W218" s="1">
        <v>136.19999999999999</v>
      </c>
      <c r="X218" s="1">
        <v>137.30000000000001</v>
      </c>
      <c r="Y218" s="1">
        <v>118.8</v>
      </c>
      <c r="Z218" s="1">
        <v>131.69999999999999</v>
      </c>
      <c r="AA218" s="1">
        <v>146.5</v>
      </c>
      <c r="AB218" s="1">
        <v>130.80000000000001</v>
      </c>
      <c r="AC218" s="1">
        <v>131.69999999999999</v>
      </c>
      <c r="AD218" s="1">
        <v>138</v>
      </c>
    </row>
    <row r="219" spans="1:30" x14ac:dyDescent="0.3">
      <c r="A219" s="1" t="s">
        <v>34</v>
      </c>
      <c r="B219" s="1">
        <v>2018</v>
      </c>
      <c r="C219" s="1" t="s">
        <v>54</v>
      </c>
      <c r="D219" s="1">
        <v>137.5</v>
      </c>
      <c r="E219" s="1">
        <v>150.5</v>
      </c>
      <c r="F219" s="1">
        <v>138.80000000000001</v>
      </c>
      <c r="G219" s="1">
        <v>142.1</v>
      </c>
      <c r="H219" s="1">
        <v>122</v>
      </c>
      <c r="I219" s="1">
        <v>139.4</v>
      </c>
      <c r="J219" s="1">
        <v>135.19999999999999</v>
      </c>
      <c r="K219" s="1">
        <v>119.8</v>
      </c>
      <c r="L219" s="1">
        <v>110.3</v>
      </c>
      <c r="M219" s="1">
        <v>140.6</v>
      </c>
      <c r="N219" s="1">
        <v>133.80000000000001</v>
      </c>
      <c r="O219" s="1">
        <v>154.6</v>
      </c>
      <c r="P219" s="1">
        <v>138.19999999999999</v>
      </c>
      <c r="Q219" s="1">
        <v>163</v>
      </c>
      <c r="R219" s="1">
        <v>148.1</v>
      </c>
      <c r="S219" s="1">
        <v>139.4</v>
      </c>
      <c r="T219" s="1">
        <v>146.80000000000001</v>
      </c>
      <c r="U219" s="1" t="s">
        <v>114</v>
      </c>
      <c r="V219" s="1">
        <v>142.69999999999999</v>
      </c>
      <c r="W219" s="1">
        <v>143.19999999999999</v>
      </c>
      <c r="X219" s="1">
        <v>144.9</v>
      </c>
      <c r="Y219" s="1">
        <v>123.6</v>
      </c>
      <c r="Z219" s="1">
        <v>136.80000000000001</v>
      </c>
      <c r="AA219" s="1">
        <v>150.1</v>
      </c>
      <c r="AB219" s="1">
        <v>132.19999999999999</v>
      </c>
      <c r="AC219" s="1">
        <v>136.80000000000001</v>
      </c>
      <c r="AD219" s="1">
        <v>140.1</v>
      </c>
    </row>
    <row r="220" spans="1:30" x14ac:dyDescent="0.3">
      <c r="A220" s="1" t="s">
        <v>30</v>
      </c>
      <c r="B220" s="1">
        <v>2019</v>
      </c>
      <c r="C220" s="1" t="s">
        <v>31</v>
      </c>
      <c r="D220" s="1">
        <v>136.6</v>
      </c>
      <c r="E220" s="1">
        <v>152.5</v>
      </c>
      <c r="F220" s="1">
        <v>138.19999999999999</v>
      </c>
      <c r="G220" s="1">
        <v>142.4</v>
      </c>
      <c r="H220" s="1">
        <v>123.9</v>
      </c>
      <c r="I220" s="1">
        <v>135.5</v>
      </c>
      <c r="J220" s="1">
        <v>131.69999999999999</v>
      </c>
      <c r="K220" s="1">
        <v>121.3</v>
      </c>
      <c r="L220" s="1">
        <v>108.4</v>
      </c>
      <c r="M220" s="1">
        <v>138.9</v>
      </c>
      <c r="N220" s="1">
        <v>137</v>
      </c>
      <c r="O220" s="1">
        <v>155.80000000000001</v>
      </c>
      <c r="P220" s="1">
        <v>137.4</v>
      </c>
      <c r="Q220" s="1">
        <v>162.69999999999999</v>
      </c>
      <c r="R220" s="1">
        <v>150.6</v>
      </c>
      <c r="S220" s="1">
        <v>145.1</v>
      </c>
      <c r="T220" s="1">
        <v>149.9</v>
      </c>
      <c r="U220" s="1" t="s">
        <v>115</v>
      </c>
      <c r="V220" s="1">
        <v>146.19999999999999</v>
      </c>
      <c r="W220" s="1">
        <v>150.1</v>
      </c>
      <c r="X220" s="1">
        <v>149.6</v>
      </c>
      <c r="Y220" s="1">
        <v>128.6</v>
      </c>
      <c r="Z220" s="1">
        <v>142.9</v>
      </c>
      <c r="AA220" s="1">
        <v>155.19999999999999</v>
      </c>
      <c r="AB220" s="1">
        <v>133.5</v>
      </c>
      <c r="AC220" s="1">
        <v>141.69999999999999</v>
      </c>
      <c r="AD220" s="1">
        <v>141</v>
      </c>
    </row>
    <row r="221" spans="1:30" x14ac:dyDescent="0.3">
      <c r="A221" s="1" t="s">
        <v>32</v>
      </c>
      <c r="B221" s="1">
        <v>2019</v>
      </c>
      <c r="C221" s="1" t="s">
        <v>31</v>
      </c>
      <c r="D221" s="1">
        <v>138.30000000000001</v>
      </c>
      <c r="E221" s="1">
        <v>149.4</v>
      </c>
      <c r="F221" s="1">
        <v>143.5</v>
      </c>
      <c r="G221" s="1">
        <v>141.69999999999999</v>
      </c>
      <c r="H221" s="1">
        <v>118.1</v>
      </c>
      <c r="I221" s="1">
        <v>135.19999999999999</v>
      </c>
      <c r="J221" s="1">
        <v>130.5</v>
      </c>
      <c r="K221" s="1">
        <v>118.2</v>
      </c>
      <c r="L221" s="1">
        <v>110.4</v>
      </c>
      <c r="M221" s="1">
        <v>140.4</v>
      </c>
      <c r="N221" s="1">
        <v>128.1</v>
      </c>
      <c r="O221" s="1">
        <v>153.19999999999999</v>
      </c>
      <c r="P221" s="1">
        <v>137.30000000000001</v>
      </c>
      <c r="Q221" s="1">
        <v>164.7</v>
      </c>
      <c r="R221" s="1">
        <v>143</v>
      </c>
      <c r="S221" s="1">
        <v>130.4</v>
      </c>
      <c r="T221" s="1">
        <v>141.1</v>
      </c>
      <c r="U221" s="1" t="s">
        <v>115</v>
      </c>
      <c r="V221" s="1">
        <v>128.6</v>
      </c>
      <c r="W221" s="1">
        <v>136.30000000000001</v>
      </c>
      <c r="X221" s="1">
        <v>137.80000000000001</v>
      </c>
      <c r="Y221" s="1">
        <v>118.6</v>
      </c>
      <c r="Z221" s="1">
        <v>131.9</v>
      </c>
      <c r="AA221" s="1">
        <v>146.6</v>
      </c>
      <c r="AB221" s="1">
        <v>131.69999999999999</v>
      </c>
      <c r="AC221" s="1">
        <v>131.80000000000001</v>
      </c>
      <c r="AD221" s="1">
        <v>138</v>
      </c>
    </row>
    <row r="222" spans="1:30" x14ac:dyDescent="0.3">
      <c r="A222" s="1" t="s">
        <v>34</v>
      </c>
      <c r="B222" s="1">
        <v>2019</v>
      </c>
      <c r="C222" s="1" t="s">
        <v>31</v>
      </c>
      <c r="D222" s="1">
        <v>137.1</v>
      </c>
      <c r="E222" s="1">
        <v>151.4</v>
      </c>
      <c r="F222" s="1">
        <v>140.19999999999999</v>
      </c>
      <c r="G222" s="1">
        <v>142.1</v>
      </c>
      <c r="H222" s="1">
        <v>121.8</v>
      </c>
      <c r="I222" s="1">
        <v>135.4</v>
      </c>
      <c r="J222" s="1">
        <v>131.30000000000001</v>
      </c>
      <c r="K222" s="1">
        <v>120.3</v>
      </c>
      <c r="L222" s="1">
        <v>109.1</v>
      </c>
      <c r="M222" s="1">
        <v>139.4</v>
      </c>
      <c r="N222" s="1">
        <v>133.30000000000001</v>
      </c>
      <c r="O222" s="1">
        <v>154.6</v>
      </c>
      <c r="P222" s="1">
        <v>137.4</v>
      </c>
      <c r="Q222" s="1">
        <v>163.19999999999999</v>
      </c>
      <c r="R222" s="1">
        <v>147.6</v>
      </c>
      <c r="S222" s="1">
        <v>139</v>
      </c>
      <c r="T222" s="1">
        <v>146.4</v>
      </c>
      <c r="U222" s="1" t="s">
        <v>115</v>
      </c>
      <c r="V222" s="1">
        <v>139.5</v>
      </c>
      <c r="W222" s="1">
        <v>143.6</v>
      </c>
      <c r="X222" s="1">
        <v>145.1</v>
      </c>
      <c r="Y222" s="1">
        <v>123.3</v>
      </c>
      <c r="Z222" s="1">
        <v>136.69999999999999</v>
      </c>
      <c r="AA222" s="1">
        <v>150.19999999999999</v>
      </c>
      <c r="AB222" s="1">
        <v>132.80000000000001</v>
      </c>
      <c r="AC222" s="1">
        <v>136.9</v>
      </c>
      <c r="AD222" s="1">
        <v>139.6</v>
      </c>
    </row>
    <row r="223" spans="1:30" x14ac:dyDescent="0.3">
      <c r="A223" s="1" t="s">
        <v>30</v>
      </c>
      <c r="B223" s="1">
        <v>2019</v>
      </c>
      <c r="C223" s="1" t="s">
        <v>35</v>
      </c>
      <c r="D223" s="1">
        <v>136.80000000000001</v>
      </c>
      <c r="E223" s="1">
        <v>153</v>
      </c>
      <c r="F223" s="1">
        <v>139.1</v>
      </c>
      <c r="G223" s="1">
        <v>142.5</v>
      </c>
      <c r="H223" s="1">
        <v>124.1</v>
      </c>
      <c r="I223" s="1">
        <v>135.80000000000001</v>
      </c>
      <c r="J223" s="1">
        <v>128.69999999999999</v>
      </c>
      <c r="K223" s="1">
        <v>121.5</v>
      </c>
      <c r="L223" s="1">
        <v>108.3</v>
      </c>
      <c r="M223" s="1">
        <v>139.19999999999999</v>
      </c>
      <c r="N223" s="1">
        <v>137.4</v>
      </c>
      <c r="O223" s="1">
        <v>156.19999999999999</v>
      </c>
      <c r="P223" s="1">
        <v>137.19999999999999</v>
      </c>
      <c r="Q223" s="1">
        <v>162.80000000000001</v>
      </c>
      <c r="R223" s="1">
        <v>150.5</v>
      </c>
      <c r="S223" s="1">
        <v>146.1</v>
      </c>
      <c r="T223" s="1">
        <v>149.9</v>
      </c>
      <c r="U223" s="1" t="s">
        <v>116</v>
      </c>
      <c r="V223" s="1">
        <v>145.30000000000001</v>
      </c>
      <c r="W223" s="1">
        <v>150.1</v>
      </c>
      <c r="X223" s="1">
        <v>149.9</v>
      </c>
      <c r="Y223" s="1">
        <v>129.19999999999999</v>
      </c>
      <c r="Z223" s="1">
        <v>143.4</v>
      </c>
      <c r="AA223" s="1">
        <v>155.5</v>
      </c>
      <c r="AB223" s="1">
        <v>134.9</v>
      </c>
      <c r="AC223" s="1">
        <v>142.19999999999999</v>
      </c>
      <c r="AD223" s="1">
        <v>141</v>
      </c>
    </row>
    <row r="224" spans="1:30" x14ac:dyDescent="0.3">
      <c r="A224" s="1" t="s">
        <v>32</v>
      </c>
      <c r="B224" s="1">
        <v>2019</v>
      </c>
      <c r="C224" s="1" t="s">
        <v>35</v>
      </c>
      <c r="D224" s="1">
        <v>139.4</v>
      </c>
      <c r="E224" s="1">
        <v>150.1</v>
      </c>
      <c r="F224" s="1">
        <v>145.30000000000001</v>
      </c>
      <c r="G224" s="1">
        <v>141.69999999999999</v>
      </c>
      <c r="H224" s="1">
        <v>118.4</v>
      </c>
      <c r="I224" s="1">
        <v>137</v>
      </c>
      <c r="J224" s="1">
        <v>131.6</v>
      </c>
      <c r="K224" s="1">
        <v>119.9</v>
      </c>
      <c r="L224" s="1">
        <v>110.4</v>
      </c>
      <c r="M224" s="1">
        <v>140.80000000000001</v>
      </c>
      <c r="N224" s="1">
        <v>128.30000000000001</v>
      </c>
      <c r="O224" s="1">
        <v>153.5</v>
      </c>
      <c r="P224" s="1">
        <v>138</v>
      </c>
      <c r="Q224" s="1">
        <v>164.9</v>
      </c>
      <c r="R224" s="1">
        <v>143.30000000000001</v>
      </c>
      <c r="S224" s="1">
        <v>130.80000000000001</v>
      </c>
      <c r="T224" s="1">
        <v>141.4</v>
      </c>
      <c r="U224" s="1" t="s">
        <v>116</v>
      </c>
      <c r="V224" s="1">
        <v>127.1</v>
      </c>
      <c r="W224" s="1">
        <v>136.6</v>
      </c>
      <c r="X224" s="1">
        <v>138.5</v>
      </c>
      <c r="Y224" s="1">
        <v>119.2</v>
      </c>
      <c r="Z224" s="1">
        <v>132.19999999999999</v>
      </c>
      <c r="AA224" s="1">
        <v>146.6</v>
      </c>
      <c r="AB224" s="1">
        <v>133</v>
      </c>
      <c r="AC224" s="1">
        <v>132.4</v>
      </c>
      <c r="AD224" s="1">
        <v>138.6</v>
      </c>
    </row>
    <row r="225" spans="1:30" x14ac:dyDescent="0.3">
      <c r="A225" s="1" t="s">
        <v>34</v>
      </c>
      <c r="B225" s="1">
        <v>2019</v>
      </c>
      <c r="C225" s="1" t="s">
        <v>35</v>
      </c>
      <c r="D225" s="1">
        <v>137.6</v>
      </c>
      <c r="E225" s="1">
        <v>152</v>
      </c>
      <c r="F225" s="1">
        <v>141.5</v>
      </c>
      <c r="G225" s="1">
        <v>142.19999999999999</v>
      </c>
      <c r="H225" s="1">
        <v>122</v>
      </c>
      <c r="I225" s="1">
        <v>136.4</v>
      </c>
      <c r="J225" s="1">
        <v>129.69999999999999</v>
      </c>
      <c r="K225" s="1">
        <v>121</v>
      </c>
      <c r="L225" s="1">
        <v>109</v>
      </c>
      <c r="M225" s="1">
        <v>139.69999999999999</v>
      </c>
      <c r="N225" s="1">
        <v>133.6</v>
      </c>
      <c r="O225" s="1">
        <v>154.9</v>
      </c>
      <c r="P225" s="1">
        <v>137.5</v>
      </c>
      <c r="Q225" s="1">
        <v>163.4</v>
      </c>
      <c r="R225" s="1">
        <v>147.69999999999999</v>
      </c>
      <c r="S225" s="1">
        <v>139.69999999999999</v>
      </c>
      <c r="T225" s="1">
        <v>146.5</v>
      </c>
      <c r="U225" s="1" t="s">
        <v>116</v>
      </c>
      <c r="V225" s="1">
        <v>138.4</v>
      </c>
      <c r="W225" s="1">
        <v>143.69999999999999</v>
      </c>
      <c r="X225" s="1">
        <v>145.6</v>
      </c>
      <c r="Y225" s="1">
        <v>123.9</v>
      </c>
      <c r="Z225" s="1">
        <v>137.1</v>
      </c>
      <c r="AA225" s="1">
        <v>150.30000000000001</v>
      </c>
      <c r="AB225" s="1">
        <v>134.1</v>
      </c>
      <c r="AC225" s="1">
        <v>137.4</v>
      </c>
      <c r="AD225" s="1">
        <v>139.9</v>
      </c>
    </row>
    <row r="226" spans="1:30" x14ac:dyDescent="0.3">
      <c r="A226" s="1" t="s">
        <v>30</v>
      </c>
      <c r="B226" s="1">
        <v>2019</v>
      </c>
      <c r="C226" s="1" t="s">
        <v>37</v>
      </c>
      <c r="D226" s="1">
        <v>136.9</v>
      </c>
      <c r="E226" s="1">
        <v>154.1</v>
      </c>
      <c r="F226" s="1">
        <v>138.69999999999999</v>
      </c>
      <c r="G226" s="1">
        <v>142.5</v>
      </c>
      <c r="H226" s="1">
        <v>124.1</v>
      </c>
      <c r="I226" s="1">
        <v>136.1</v>
      </c>
      <c r="J226" s="1">
        <v>128.19999999999999</v>
      </c>
      <c r="K226" s="1">
        <v>122.3</v>
      </c>
      <c r="L226" s="1">
        <v>108.3</v>
      </c>
      <c r="M226" s="1">
        <v>138.9</v>
      </c>
      <c r="N226" s="1">
        <v>137.4</v>
      </c>
      <c r="O226" s="1">
        <v>156.4</v>
      </c>
      <c r="P226" s="1">
        <v>137.30000000000001</v>
      </c>
      <c r="Q226" s="1">
        <v>162.9</v>
      </c>
      <c r="R226" s="1">
        <v>150.80000000000001</v>
      </c>
      <c r="S226" s="1">
        <v>146.1</v>
      </c>
      <c r="T226" s="1">
        <v>150.1</v>
      </c>
      <c r="U226" s="1" t="s">
        <v>117</v>
      </c>
      <c r="V226" s="1">
        <v>146.4</v>
      </c>
      <c r="W226" s="1">
        <v>150</v>
      </c>
      <c r="X226" s="1">
        <v>150.4</v>
      </c>
      <c r="Y226" s="1">
        <v>129.9</v>
      </c>
      <c r="Z226" s="1">
        <v>143.80000000000001</v>
      </c>
      <c r="AA226" s="1">
        <v>155.5</v>
      </c>
      <c r="AB226" s="1">
        <v>134</v>
      </c>
      <c r="AC226" s="1">
        <v>142.4</v>
      </c>
      <c r="AD226" s="1">
        <v>141.19999999999999</v>
      </c>
    </row>
    <row r="227" spans="1:30" x14ac:dyDescent="0.3">
      <c r="A227" s="1" t="s">
        <v>32</v>
      </c>
      <c r="B227" s="1">
        <v>2019</v>
      </c>
      <c r="C227" s="1" t="s">
        <v>37</v>
      </c>
      <c r="D227" s="1">
        <v>139.69999999999999</v>
      </c>
      <c r="E227" s="1">
        <v>151.1</v>
      </c>
      <c r="F227" s="1">
        <v>142.9</v>
      </c>
      <c r="G227" s="1">
        <v>141.9</v>
      </c>
      <c r="H227" s="1">
        <v>118.4</v>
      </c>
      <c r="I227" s="1">
        <v>139.4</v>
      </c>
      <c r="J227" s="1">
        <v>141.19999999999999</v>
      </c>
      <c r="K227" s="1">
        <v>120.7</v>
      </c>
      <c r="L227" s="1">
        <v>110.4</v>
      </c>
      <c r="M227" s="1">
        <v>140.69999999999999</v>
      </c>
      <c r="N227" s="1">
        <v>128.5</v>
      </c>
      <c r="O227" s="1">
        <v>153.9</v>
      </c>
      <c r="P227" s="1">
        <v>139.6</v>
      </c>
      <c r="Q227" s="1">
        <v>165.3</v>
      </c>
      <c r="R227" s="1">
        <v>143.5</v>
      </c>
      <c r="S227" s="1">
        <v>131.19999999999999</v>
      </c>
      <c r="T227" s="1">
        <v>141.6</v>
      </c>
      <c r="U227" s="1" t="s">
        <v>117</v>
      </c>
      <c r="V227" s="1">
        <v>128.80000000000001</v>
      </c>
      <c r="W227" s="1">
        <v>136.80000000000001</v>
      </c>
      <c r="X227" s="1">
        <v>139.19999999999999</v>
      </c>
      <c r="Y227" s="1">
        <v>119.9</v>
      </c>
      <c r="Z227" s="1">
        <v>133</v>
      </c>
      <c r="AA227" s="1">
        <v>146.69999999999999</v>
      </c>
      <c r="AB227" s="1">
        <v>132.5</v>
      </c>
      <c r="AC227" s="1">
        <v>132.80000000000001</v>
      </c>
      <c r="AD227" s="1">
        <v>139.5</v>
      </c>
    </row>
    <row r="228" spans="1:30" x14ac:dyDescent="0.3">
      <c r="A228" s="1" t="s">
        <v>34</v>
      </c>
      <c r="B228" s="1">
        <v>2019</v>
      </c>
      <c r="C228" s="1" t="s">
        <v>37</v>
      </c>
      <c r="D228" s="1">
        <v>137.80000000000001</v>
      </c>
      <c r="E228" s="1">
        <v>153</v>
      </c>
      <c r="F228" s="1">
        <v>140.30000000000001</v>
      </c>
      <c r="G228" s="1">
        <v>142.30000000000001</v>
      </c>
      <c r="H228" s="1">
        <v>122</v>
      </c>
      <c r="I228" s="1">
        <v>137.6</v>
      </c>
      <c r="J228" s="1">
        <v>132.6</v>
      </c>
      <c r="K228" s="1">
        <v>121.8</v>
      </c>
      <c r="L228" s="1">
        <v>109</v>
      </c>
      <c r="M228" s="1">
        <v>139.5</v>
      </c>
      <c r="N228" s="1">
        <v>133.69999999999999</v>
      </c>
      <c r="O228" s="1">
        <v>155.19999999999999</v>
      </c>
      <c r="P228" s="1">
        <v>138.1</v>
      </c>
      <c r="Q228" s="1">
        <v>163.5</v>
      </c>
      <c r="R228" s="1">
        <v>147.9</v>
      </c>
      <c r="S228" s="1">
        <v>139.9</v>
      </c>
      <c r="T228" s="1">
        <v>146.69999999999999</v>
      </c>
      <c r="U228" s="1" t="s">
        <v>117</v>
      </c>
      <c r="V228" s="1">
        <v>139.69999999999999</v>
      </c>
      <c r="W228" s="1">
        <v>143.80000000000001</v>
      </c>
      <c r="X228" s="1">
        <v>146.19999999999999</v>
      </c>
      <c r="Y228" s="1">
        <v>124.6</v>
      </c>
      <c r="Z228" s="1">
        <v>137.69999999999999</v>
      </c>
      <c r="AA228" s="1">
        <v>150.30000000000001</v>
      </c>
      <c r="AB228" s="1">
        <v>133.4</v>
      </c>
      <c r="AC228" s="1">
        <v>137.69999999999999</v>
      </c>
      <c r="AD228" s="1">
        <v>140.4</v>
      </c>
    </row>
    <row r="229" spans="1:30" x14ac:dyDescent="0.3">
      <c r="A229" s="1" t="s">
        <v>30</v>
      </c>
      <c r="B229" s="1">
        <v>2019</v>
      </c>
      <c r="C229" s="1" t="s">
        <v>40</v>
      </c>
      <c r="D229" s="1">
        <v>137.4</v>
      </c>
      <c r="E229" s="1">
        <v>159.5</v>
      </c>
      <c r="F229" s="1">
        <v>134.5</v>
      </c>
      <c r="G229" s="1">
        <v>142.6</v>
      </c>
      <c r="H229" s="1">
        <v>124</v>
      </c>
      <c r="I229" s="1">
        <v>143.69999999999999</v>
      </c>
      <c r="J229" s="1">
        <v>133.4</v>
      </c>
      <c r="K229" s="1">
        <v>125.1</v>
      </c>
      <c r="L229" s="1">
        <v>109.3</v>
      </c>
      <c r="M229" s="1">
        <v>139.30000000000001</v>
      </c>
      <c r="N229" s="1">
        <v>137.69999999999999</v>
      </c>
      <c r="O229" s="1">
        <v>156.4</v>
      </c>
      <c r="P229" s="1">
        <v>139.19999999999999</v>
      </c>
      <c r="Q229" s="1">
        <v>163.30000000000001</v>
      </c>
      <c r="R229" s="1">
        <v>151.30000000000001</v>
      </c>
      <c r="S229" s="1">
        <v>146.6</v>
      </c>
      <c r="T229" s="1">
        <v>150.69999999999999</v>
      </c>
      <c r="U229" s="1" t="s">
        <v>118</v>
      </c>
      <c r="V229" s="1">
        <v>146.9</v>
      </c>
      <c r="W229" s="1">
        <v>149.5</v>
      </c>
      <c r="X229" s="1">
        <v>151.30000000000001</v>
      </c>
      <c r="Y229" s="1">
        <v>130.19999999999999</v>
      </c>
      <c r="Z229" s="1">
        <v>145.9</v>
      </c>
      <c r="AA229" s="1">
        <v>156.69999999999999</v>
      </c>
      <c r="AB229" s="1">
        <v>133.9</v>
      </c>
      <c r="AC229" s="1">
        <v>142.9</v>
      </c>
      <c r="AD229" s="1">
        <v>142.4</v>
      </c>
    </row>
    <row r="230" spans="1:30" x14ac:dyDescent="0.3">
      <c r="A230" s="1" t="s">
        <v>32</v>
      </c>
      <c r="B230" s="1">
        <v>2019</v>
      </c>
      <c r="C230" s="1" t="s">
        <v>40</v>
      </c>
      <c r="D230" s="1">
        <v>140.4</v>
      </c>
      <c r="E230" s="1">
        <v>156.69999999999999</v>
      </c>
      <c r="F230" s="1">
        <v>138.30000000000001</v>
      </c>
      <c r="G230" s="1">
        <v>142.4</v>
      </c>
      <c r="H230" s="1">
        <v>118.6</v>
      </c>
      <c r="I230" s="1">
        <v>149.69999999999999</v>
      </c>
      <c r="J230" s="1">
        <v>161.6</v>
      </c>
      <c r="K230" s="1">
        <v>124.4</v>
      </c>
      <c r="L230" s="1">
        <v>111.2</v>
      </c>
      <c r="M230" s="1">
        <v>141</v>
      </c>
      <c r="N230" s="1">
        <v>128.9</v>
      </c>
      <c r="O230" s="1">
        <v>154.5</v>
      </c>
      <c r="P230" s="1">
        <v>143.80000000000001</v>
      </c>
      <c r="Q230" s="1">
        <v>166.2</v>
      </c>
      <c r="R230" s="1">
        <v>144</v>
      </c>
      <c r="S230" s="1">
        <v>131.69999999999999</v>
      </c>
      <c r="T230" s="1">
        <v>142.19999999999999</v>
      </c>
      <c r="U230" s="1" t="s">
        <v>118</v>
      </c>
      <c r="V230" s="1">
        <v>129.4</v>
      </c>
      <c r="W230" s="1">
        <v>137.19999999999999</v>
      </c>
      <c r="X230" s="1">
        <v>139.80000000000001</v>
      </c>
      <c r="Y230" s="1">
        <v>120.1</v>
      </c>
      <c r="Z230" s="1">
        <v>134</v>
      </c>
      <c r="AA230" s="1">
        <v>148</v>
      </c>
      <c r="AB230" s="1">
        <v>132.6</v>
      </c>
      <c r="AC230" s="1">
        <v>133.30000000000001</v>
      </c>
      <c r="AD230" s="1">
        <v>141.5</v>
      </c>
    </row>
    <row r="231" spans="1:30" x14ac:dyDescent="0.3">
      <c r="A231" s="1" t="s">
        <v>34</v>
      </c>
      <c r="B231" s="1">
        <v>2019</v>
      </c>
      <c r="C231" s="1" t="s">
        <v>40</v>
      </c>
      <c r="D231" s="1">
        <v>138.30000000000001</v>
      </c>
      <c r="E231" s="1">
        <v>158.5</v>
      </c>
      <c r="F231" s="1">
        <v>136</v>
      </c>
      <c r="G231" s="1">
        <v>142.5</v>
      </c>
      <c r="H231" s="1">
        <v>122</v>
      </c>
      <c r="I231" s="1">
        <v>146.5</v>
      </c>
      <c r="J231" s="1">
        <v>143</v>
      </c>
      <c r="K231" s="1">
        <v>124.9</v>
      </c>
      <c r="L231" s="1">
        <v>109.9</v>
      </c>
      <c r="M231" s="1">
        <v>139.9</v>
      </c>
      <c r="N231" s="1">
        <v>134</v>
      </c>
      <c r="O231" s="1">
        <v>155.5</v>
      </c>
      <c r="P231" s="1">
        <v>140.9</v>
      </c>
      <c r="Q231" s="1">
        <v>164.1</v>
      </c>
      <c r="R231" s="1">
        <v>148.4</v>
      </c>
      <c r="S231" s="1">
        <v>140.4</v>
      </c>
      <c r="T231" s="1">
        <v>147.30000000000001</v>
      </c>
      <c r="U231" s="1" t="s">
        <v>118</v>
      </c>
      <c r="V231" s="1">
        <v>140.30000000000001</v>
      </c>
      <c r="W231" s="1">
        <v>143.69999999999999</v>
      </c>
      <c r="X231" s="1">
        <v>146.9</v>
      </c>
      <c r="Y231" s="1">
        <v>124.9</v>
      </c>
      <c r="Z231" s="1">
        <v>139.19999999999999</v>
      </c>
      <c r="AA231" s="1">
        <v>151.6</v>
      </c>
      <c r="AB231" s="1">
        <v>133.4</v>
      </c>
      <c r="AC231" s="1">
        <v>138.19999999999999</v>
      </c>
      <c r="AD231" s="1">
        <v>142</v>
      </c>
    </row>
    <row r="232" spans="1:30" x14ac:dyDescent="0.3">
      <c r="A232" s="1" t="s">
        <v>30</v>
      </c>
      <c r="B232" s="1">
        <v>2019</v>
      </c>
      <c r="C232" s="1" t="s">
        <v>41</v>
      </c>
      <c r="D232" s="1">
        <v>137.80000000000001</v>
      </c>
      <c r="E232" s="1">
        <v>163.5</v>
      </c>
      <c r="F232" s="1">
        <v>136.19999999999999</v>
      </c>
      <c r="G232" s="1">
        <v>143.19999999999999</v>
      </c>
      <c r="H232" s="1">
        <v>124.3</v>
      </c>
      <c r="I232" s="1">
        <v>143.30000000000001</v>
      </c>
      <c r="J232" s="1">
        <v>140.6</v>
      </c>
      <c r="K232" s="1">
        <v>128.69999999999999</v>
      </c>
      <c r="L232" s="1">
        <v>110.6</v>
      </c>
      <c r="M232" s="1">
        <v>140.4</v>
      </c>
      <c r="N232" s="1">
        <v>138</v>
      </c>
      <c r="O232" s="1">
        <v>156.6</v>
      </c>
      <c r="P232" s="1">
        <v>141</v>
      </c>
      <c r="Q232" s="1">
        <v>164.2</v>
      </c>
      <c r="R232" s="1">
        <v>151.4</v>
      </c>
      <c r="S232" s="1">
        <v>146.5</v>
      </c>
      <c r="T232" s="1">
        <v>150.69999999999999</v>
      </c>
      <c r="U232" s="1" t="s">
        <v>119</v>
      </c>
      <c r="V232" s="1">
        <v>147.80000000000001</v>
      </c>
      <c r="W232" s="1">
        <v>149.6</v>
      </c>
      <c r="X232" s="1">
        <v>151.69999999999999</v>
      </c>
      <c r="Y232" s="1">
        <v>130.19999999999999</v>
      </c>
      <c r="Z232" s="1">
        <v>146.4</v>
      </c>
      <c r="AA232" s="1">
        <v>157.69999999999999</v>
      </c>
      <c r="AB232" s="1">
        <v>134.80000000000001</v>
      </c>
      <c r="AC232" s="1">
        <v>143.30000000000001</v>
      </c>
      <c r="AD232" s="1">
        <v>143.6</v>
      </c>
    </row>
    <row r="233" spans="1:30" x14ac:dyDescent="0.3">
      <c r="A233" s="1" t="s">
        <v>32</v>
      </c>
      <c r="B233" s="1">
        <v>2019</v>
      </c>
      <c r="C233" s="1" t="s">
        <v>41</v>
      </c>
      <c r="D233" s="1">
        <v>140.69999999999999</v>
      </c>
      <c r="E233" s="1">
        <v>159.6</v>
      </c>
      <c r="F233" s="1">
        <v>140.4</v>
      </c>
      <c r="G233" s="1">
        <v>143.4</v>
      </c>
      <c r="H233" s="1">
        <v>118.6</v>
      </c>
      <c r="I233" s="1">
        <v>150.9</v>
      </c>
      <c r="J233" s="1">
        <v>169.8</v>
      </c>
      <c r="K233" s="1">
        <v>127.4</v>
      </c>
      <c r="L233" s="1">
        <v>111.8</v>
      </c>
      <c r="M233" s="1">
        <v>141</v>
      </c>
      <c r="N233" s="1">
        <v>129</v>
      </c>
      <c r="O233" s="1">
        <v>155.1</v>
      </c>
      <c r="P233" s="1">
        <v>145.6</v>
      </c>
      <c r="Q233" s="1">
        <v>166.7</v>
      </c>
      <c r="R233" s="1">
        <v>144.30000000000001</v>
      </c>
      <c r="S233" s="1">
        <v>131.69999999999999</v>
      </c>
      <c r="T233" s="1">
        <v>142.4</v>
      </c>
      <c r="U233" s="1" t="s">
        <v>119</v>
      </c>
      <c r="V233" s="1">
        <v>130.5</v>
      </c>
      <c r="W233" s="1">
        <v>137.4</v>
      </c>
      <c r="X233" s="1">
        <v>140.30000000000001</v>
      </c>
      <c r="Y233" s="1">
        <v>119.6</v>
      </c>
      <c r="Z233" s="1">
        <v>134.30000000000001</v>
      </c>
      <c r="AA233" s="1">
        <v>148.9</v>
      </c>
      <c r="AB233" s="1">
        <v>133.69999999999999</v>
      </c>
      <c r="AC233" s="1">
        <v>133.6</v>
      </c>
      <c r="AD233" s="1">
        <v>142.1</v>
      </c>
    </row>
    <row r="234" spans="1:30" x14ac:dyDescent="0.3">
      <c r="A234" s="1" t="s">
        <v>34</v>
      </c>
      <c r="B234" s="1">
        <v>2019</v>
      </c>
      <c r="C234" s="1" t="s">
        <v>41</v>
      </c>
      <c r="D234" s="1">
        <v>138.69999999999999</v>
      </c>
      <c r="E234" s="1">
        <v>162.1</v>
      </c>
      <c r="F234" s="1">
        <v>137.80000000000001</v>
      </c>
      <c r="G234" s="1">
        <v>143.30000000000001</v>
      </c>
      <c r="H234" s="1">
        <v>122.2</v>
      </c>
      <c r="I234" s="1">
        <v>146.80000000000001</v>
      </c>
      <c r="J234" s="1">
        <v>150.5</v>
      </c>
      <c r="K234" s="1">
        <v>128.30000000000001</v>
      </c>
      <c r="L234" s="1">
        <v>111</v>
      </c>
      <c r="M234" s="1">
        <v>140.6</v>
      </c>
      <c r="N234" s="1">
        <v>134.19999999999999</v>
      </c>
      <c r="O234" s="1">
        <v>155.9</v>
      </c>
      <c r="P234" s="1">
        <v>142.69999999999999</v>
      </c>
      <c r="Q234" s="1">
        <v>164.9</v>
      </c>
      <c r="R234" s="1">
        <v>148.6</v>
      </c>
      <c r="S234" s="1">
        <v>140.4</v>
      </c>
      <c r="T234" s="1">
        <v>147.4</v>
      </c>
      <c r="U234" s="1" t="s">
        <v>119</v>
      </c>
      <c r="V234" s="1">
        <v>141.19999999999999</v>
      </c>
      <c r="W234" s="1">
        <v>143.80000000000001</v>
      </c>
      <c r="X234" s="1">
        <v>147.4</v>
      </c>
      <c r="Y234" s="1">
        <v>124.6</v>
      </c>
      <c r="Z234" s="1">
        <v>139.6</v>
      </c>
      <c r="AA234" s="1">
        <v>152.5</v>
      </c>
      <c r="AB234" s="1">
        <v>134.30000000000001</v>
      </c>
      <c r="AC234" s="1">
        <v>138.6</v>
      </c>
      <c r="AD234" s="1">
        <v>142.9</v>
      </c>
    </row>
    <row r="235" spans="1:30" x14ac:dyDescent="0.3">
      <c r="A235" s="1" t="s">
        <v>30</v>
      </c>
      <c r="B235" s="1">
        <v>2019</v>
      </c>
      <c r="C235" s="1" t="s">
        <v>43</v>
      </c>
      <c r="D235" s="1">
        <v>138.4</v>
      </c>
      <c r="E235" s="1">
        <v>164</v>
      </c>
      <c r="F235" s="1">
        <v>138.4</v>
      </c>
      <c r="G235" s="1">
        <v>143.9</v>
      </c>
      <c r="H235" s="1">
        <v>124.4</v>
      </c>
      <c r="I235" s="1">
        <v>146.4</v>
      </c>
      <c r="J235" s="1">
        <v>150.1</v>
      </c>
      <c r="K235" s="1">
        <v>130.6</v>
      </c>
      <c r="L235" s="1">
        <v>110.8</v>
      </c>
      <c r="M235" s="1">
        <v>141.69999999999999</v>
      </c>
      <c r="N235" s="1">
        <v>138.5</v>
      </c>
      <c r="O235" s="1">
        <v>156.69999999999999</v>
      </c>
      <c r="P235" s="1">
        <v>143</v>
      </c>
      <c r="Q235" s="1">
        <v>164.5</v>
      </c>
      <c r="R235" s="1">
        <v>151.6</v>
      </c>
      <c r="S235" s="1">
        <v>146.6</v>
      </c>
      <c r="T235" s="1">
        <v>150.9</v>
      </c>
      <c r="U235" s="1" t="s">
        <v>120</v>
      </c>
      <c r="V235" s="1">
        <v>146.80000000000001</v>
      </c>
      <c r="W235" s="1">
        <v>150</v>
      </c>
      <c r="X235" s="1">
        <v>152.19999999999999</v>
      </c>
      <c r="Y235" s="1">
        <v>131.19999999999999</v>
      </c>
      <c r="Z235" s="1">
        <v>147.5</v>
      </c>
      <c r="AA235" s="1">
        <v>159.1</v>
      </c>
      <c r="AB235" s="1">
        <v>136.1</v>
      </c>
      <c r="AC235" s="1">
        <v>144.19999999999999</v>
      </c>
      <c r="AD235" s="1">
        <v>144.9</v>
      </c>
    </row>
    <row r="236" spans="1:30" x14ac:dyDescent="0.3">
      <c r="A236" s="1" t="s">
        <v>32</v>
      </c>
      <c r="B236" s="1">
        <v>2019</v>
      </c>
      <c r="C236" s="1" t="s">
        <v>43</v>
      </c>
      <c r="D236" s="1">
        <v>141.4</v>
      </c>
      <c r="E236" s="1">
        <v>160.19999999999999</v>
      </c>
      <c r="F236" s="1">
        <v>142.5</v>
      </c>
      <c r="G236" s="1">
        <v>144.1</v>
      </c>
      <c r="H236" s="1">
        <v>119.3</v>
      </c>
      <c r="I236" s="1">
        <v>154.69999999999999</v>
      </c>
      <c r="J236" s="1">
        <v>180.1</v>
      </c>
      <c r="K236" s="1">
        <v>128.9</v>
      </c>
      <c r="L236" s="1">
        <v>111.8</v>
      </c>
      <c r="M236" s="1">
        <v>141.6</v>
      </c>
      <c r="N236" s="1">
        <v>129.5</v>
      </c>
      <c r="O236" s="1">
        <v>155.6</v>
      </c>
      <c r="P236" s="1">
        <v>147.69999999999999</v>
      </c>
      <c r="Q236" s="1">
        <v>167.2</v>
      </c>
      <c r="R236" s="1">
        <v>144.69999999999999</v>
      </c>
      <c r="S236" s="1">
        <v>131.9</v>
      </c>
      <c r="T236" s="1">
        <v>142.69999999999999</v>
      </c>
      <c r="U236" s="1" t="s">
        <v>120</v>
      </c>
      <c r="V236" s="1">
        <v>127</v>
      </c>
      <c r="W236" s="1">
        <v>137.69999999999999</v>
      </c>
      <c r="X236" s="1">
        <v>140.80000000000001</v>
      </c>
      <c r="Y236" s="1">
        <v>120.6</v>
      </c>
      <c r="Z236" s="1">
        <v>135</v>
      </c>
      <c r="AA236" s="1">
        <v>150.4</v>
      </c>
      <c r="AB236" s="1">
        <v>135.1</v>
      </c>
      <c r="AC236" s="1">
        <v>134.5</v>
      </c>
      <c r="AD236" s="1">
        <v>143.30000000000001</v>
      </c>
    </row>
    <row r="237" spans="1:30" x14ac:dyDescent="0.3">
      <c r="A237" s="1" t="s">
        <v>34</v>
      </c>
      <c r="B237" s="1">
        <v>2019</v>
      </c>
      <c r="C237" s="1" t="s">
        <v>43</v>
      </c>
      <c r="D237" s="1">
        <v>139.30000000000001</v>
      </c>
      <c r="E237" s="1">
        <v>162.69999999999999</v>
      </c>
      <c r="F237" s="1">
        <v>140</v>
      </c>
      <c r="G237" s="1">
        <v>144</v>
      </c>
      <c r="H237" s="1">
        <v>122.5</v>
      </c>
      <c r="I237" s="1">
        <v>150.30000000000001</v>
      </c>
      <c r="J237" s="1">
        <v>160.30000000000001</v>
      </c>
      <c r="K237" s="1">
        <v>130</v>
      </c>
      <c r="L237" s="1">
        <v>111.1</v>
      </c>
      <c r="M237" s="1">
        <v>141.69999999999999</v>
      </c>
      <c r="N237" s="1">
        <v>134.69999999999999</v>
      </c>
      <c r="O237" s="1">
        <v>156.19999999999999</v>
      </c>
      <c r="P237" s="1">
        <v>144.69999999999999</v>
      </c>
      <c r="Q237" s="1">
        <v>165.2</v>
      </c>
      <c r="R237" s="1">
        <v>148.9</v>
      </c>
      <c r="S237" s="1">
        <v>140.5</v>
      </c>
      <c r="T237" s="1">
        <v>147.6</v>
      </c>
      <c r="U237" s="1" t="s">
        <v>120</v>
      </c>
      <c r="V237" s="1">
        <v>139.30000000000001</v>
      </c>
      <c r="W237" s="1">
        <v>144.19999999999999</v>
      </c>
      <c r="X237" s="1">
        <v>147.9</v>
      </c>
      <c r="Y237" s="1">
        <v>125.6</v>
      </c>
      <c r="Z237" s="1">
        <v>140.5</v>
      </c>
      <c r="AA237" s="1">
        <v>154</v>
      </c>
      <c r="AB237" s="1">
        <v>135.69999999999999</v>
      </c>
      <c r="AC237" s="1">
        <v>139.5</v>
      </c>
      <c r="AD237" s="1">
        <v>144.19999999999999</v>
      </c>
    </row>
    <row r="238" spans="1:30" x14ac:dyDescent="0.3">
      <c r="A238" s="1" t="s">
        <v>30</v>
      </c>
      <c r="B238" s="1">
        <v>2019</v>
      </c>
      <c r="C238" s="1" t="s">
        <v>45</v>
      </c>
      <c r="D238" s="1">
        <v>139.19999999999999</v>
      </c>
      <c r="E238" s="1">
        <v>161.9</v>
      </c>
      <c r="F238" s="1">
        <v>137.1</v>
      </c>
      <c r="G238" s="1">
        <v>144.6</v>
      </c>
      <c r="H238" s="1">
        <v>124.7</v>
      </c>
      <c r="I238" s="1">
        <v>145.5</v>
      </c>
      <c r="J238" s="1">
        <v>156.19999999999999</v>
      </c>
      <c r="K238" s="1">
        <v>131.5</v>
      </c>
      <c r="L238" s="1">
        <v>111.7</v>
      </c>
      <c r="M238" s="1">
        <v>142.69999999999999</v>
      </c>
      <c r="N238" s="1">
        <v>138.5</v>
      </c>
      <c r="O238" s="1">
        <v>156.9</v>
      </c>
      <c r="P238" s="1">
        <v>144</v>
      </c>
      <c r="Q238" s="1">
        <v>165.1</v>
      </c>
      <c r="R238" s="1">
        <v>151.80000000000001</v>
      </c>
      <c r="S238" s="1">
        <v>146.6</v>
      </c>
      <c r="T238" s="1">
        <v>151.1</v>
      </c>
      <c r="U238" s="1" t="s">
        <v>121</v>
      </c>
      <c r="V238" s="1">
        <v>146.4</v>
      </c>
      <c r="W238" s="1">
        <v>150.19999999999999</v>
      </c>
      <c r="X238" s="1">
        <v>152.69999999999999</v>
      </c>
      <c r="Y238" s="1">
        <v>131.4</v>
      </c>
      <c r="Z238" s="1">
        <v>148</v>
      </c>
      <c r="AA238" s="1">
        <v>159.69999999999999</v>
      </c>
      <c r="AB238" s="1">
        <v>138.80000000000001</v>
      </c>
      <c r="AC238" s="1">
        <v>144.9</v>
      </c>
      <c r="AD238" s="1">
        <v>145.69999999999999</v>
      </c>
    </row>
    <row r="239" spans="1:30" x14ac:dyDescent="0.3">
      <c r="A239" s="1" t="s">
        <v>32</v>
      </c>
      <c r="B239" s="1">
        <v>2019</v>
      </c>
      <c r="C239" s="1" t="s">
        <v>45</v>
      </c>
      <c r="D239" s="1">
        <v>142.1</v>
      </c>
      <c r="E239" s="1">
        <v>158.30000000000001</v>
      </c>
      <c r="F239" s="1">
        <v>140.80000000000001</v>
      </c>
      <c r="G239" s="1">
        <v>144.9</v>
      </c>
      <c r="H239" s="1">
        <v>119.9</v>
      </c>
      <c r="I239" s="1">
        <v>153.9</v>
      </c>
      <c r="J239" s="1">
        <v>189.1</v>
      </c>
      <c r="K239" s="1">
        <v>129.80000000000001</v>
      </c>
      <c r="L239" s="1">
        <v>112.7</v>
      </c>
      <c r="M239" s="1">
        <v>142.5</v>
      </c>
      <c r="N239" s="1">
        <v>129.80000000000001</v>
      </c>
      <c r="O239" s="1">
        <v>156.19999999999999</v>
      </c>
      <c r="P239" s="1">
        <v>149.1</v>
      </c>
      <c r="Q239" s="1">
        <v>167.9</v>
      </c>
      <c r="R239" s="1">
        <v>145</v>
      </c>
      <c r="S239" s="1">
        <v>132.19999999999999</v>
      </c>
      <c r="T239" s="1">
        <v>143</v>
      </c>
      <c r="U239" s="1" t="s">
        <v>121</v>
      </c>
      <c r="V239" s="1">
        <v>125.5</v>
      </c>
      <c r="W239" s="1">
        <v>138.1</v>
      </c>
      <c r="X239" s="1">
        <v>141.5</v>
      </c>
      <c r="Y239" s="1">
        <v>120.8</v>
      </c>
      <c r="Z239" s="1">
        <v>135.4</v>
      </c>
      <c r="AA239" s="1">
        <v>151.5</v>
      </c>
      <c r="AB239" s="1">
        <v>137.80000000000001</v>
      </c>
      <c r="AC239" s="1">
        <v>135.30000000000001</v>
      </c>
      <c r="AD239" s="1">
        <v>144.19999999999999</v>
      </c>
    </row>
    <row r="240" spans="1:30" x14ac:dyDescent="0.3">
      <c r="A240" s="1" t="s">
        <v>34</v>
      </c>
      <c r="B240" s="1">
        <v>2019</v>
      </c>
      <c r="C240" s="1" t="s">
        <v>45</v>
      </c>
      <c r="D240" s="1">
        <v>140.1</v>
      </c>
      <c r="E240" s="1">
        <v>160.6</v>
      </c>
      <c r="F240" s="1">
        <v>138.5</v>
      </c>
      <c r="G240" s="1">
        <v>144.69999999999999</v>
      </c>
      <c r="H240" s="1">
        <v>122.9</v>
      </c>
      <c r="I240" s="1">
        <v>149.4</v>
      </c>
      <c r="J240" s="1">
        <v>167.4</v>
      </c>
      <c r="K240" s="1">
        <v>130.9</v>
      </c>
      <c r="L240" s="1">
        <v>112</v>
      </c>
      <c r="M240" s="1">
        <v>142.6</v>
      </c>
      <c r="N240" s="1">
        <v>134.9</v>
      </c>
      <c r="O240" s="1">
        <v>156.6</v>
      </c>
      <c r="P240" s="1">
        <v>145.9</v>
      </c>
      <c r="Q240" s="1">
        <v>165.8</v>
      </c>
      <c r="R240" s="1">
        <v>149.1</v>
      </c>
      <c r="S240" s="1">
        <v>140.6</v>
      </c>
      <c r="T240" s="1">
        <v>147.9</v>
      </c>
      <c r="U240" s="1" t="s">
        <v>121</v>
      </c>
      <c r="V240" s="1">
        <v>138.5</v>
      </c>
      <c r="W240" s="1">
        <v>144.5</v>
      </c>
      <c r="X240" s="1">
        <v>148.5</v>
      </c>
      <c r="Y240" s="1">
        <v>125.8</v>
      </c>
      <c r="Z240" s="1">
        <v>140.9</v>
      </c>
      <c r="AA240" s="1">
        <v>154.9</v>
      </c>
      <c r="AB240" s="1">
        <v>138.4</v>
      </c>
      <c r="AC240" s="1">
        <v>140.19999999999999</v>
      </c>
      <c r="AD240" s="1">
        <v>145</v>
      </c>
    </row>
    <row r="241" spans="1:30" x14ac:dyDescent="0.3">
      <c r="A241" s="1" t="s">
        <v>30</v>
      </c>
      <c r="B241" s="1">
        <v>2019</v>
      </c>
      <c r="C241" s="1" t="s">
        <v>47</v>
      </c>
      <c r="D241" s="1">
        <v>140.1</v>
      </c>
      <c r="E241" s="1">
        <v>161.9</v>
      </c>
      <c r="F241" s="1">
        <v>138.30000000000001</v>
      </c>
      <c r="G241" s="1">
        <v>145.69999999999999</v>
      </c>
      <c r="H241" s="1">
        <v>125.1</v>
      </c>
      <c r="I241" s="1">
        <v>143.80000000000001</v>
      </c>
      <c r="J241" s="1">
        <v>163.4</v>
      </c>
      <c r="K241" s="1">
        <v>132.19999999999999</v>
      </c>
      <c r="L241" s="1">
        <v>112.8</v>
      </c>
      <c r="M241" s="1">
        <v>144.19999999999999</v>
      </c>
      <c r="N241" s="1">
        <v>138.5</v>
      </c>
      <c r="O241" s="1">
        <v>157.19999999999999</v>
      </c>
      <c r="P241" s="1">
        <v>145.5</v>
      </c>
      <c r="Q241" s="1">
        <v>165.7</v>
      </c>
      <c r="R241" s="1">
        <v>151.69999999999999</v>
      </c>
      <c r="S241" s="1">
        <v>146.6</v>
      </c>
      <c r="T241" s="1">
        <v>151</v>
      </c>
      <c r="U241" s="1" t="s">
        <v>122</v>
      </c>
      <c r="V241" s="1">
        <v>146.9</v>
      </c>
      <c r="W241" s="1">
        <v>150.30000000000001</v>
      </c>
      <c r="X241" s="1">
        <v>153.4</v>
      </c>
      <c r="Y241" s="1">
        <v>131.6</v>
      </c>
      <c r="Z241" s="1">
        <v>148.30000000000001</v>
      </c>
      <c r="AA241" s="1">
        <v>160.19999999999999</v>
      </c>
      <c r="AB241" s="1">
        <v>140.19999999999999</v>
      </c>
      <c r="AC241" s="1">
        <v>145.4</v>
      </c>
      <c r="AD241" s="1">
        <v>146.69999999999999</v>
      </c>
    </row>
    <row r="242" spans="1:30" x14ac:dyDescent="0.3">
      <c r="A242" s="1" t="s">
        <v>32</v>
      </c>
      <c r="B242" s="1">
        <v>2019</v>
      </c>
      <c r="C242" s="1" t="s">
        <v>47</v>
      </c>
      <c r="D242" s="1">
        <v>142.69999999999999</v>
      </c>
      <c r="E242" s="1">
        <v>158.69999999999999</v>
      </c>
      <c r="F242" s="1">
        <v>141.6</v>
      </c>
      <c r="G242" s="1">
        <v>144.9</v>
      </c>
      <c r="H242" s="1">
        <v>120.8</v>
      </c>
      <c r="I242" s="1">
        <v>149.80000000000001</v>
      </c>
      <c r="J242" s="1">
        <v>192.4</v>
      </c>
      <c r="K242" s="1">
        <v>130.30000000000001</v>
      </c>
      <c r="L242" s="1">
        <v>114</v>
      </c>
      <c r="M242" s="1">
        <v>143.80000000000001</v>
      </c>
      <c r="N242" s="1">
        <v>130</v>
      </c>
      <c r="O242" s="1">
        <v>156.4</v>
      </c>
      <c r="P242" s="1">
        <v>149.5</v>
      </c>
      <c r="Q242" s="1">
        <v>168.6</v>
      </c>
      <c r="R242" s="1">
        <v>145.30000000000001</v>
      </c>
      <c r="S242" s="1">
        <v>132.19999999999999</v>
      </c>
      <c r="T242" s="1">
        <v>143.30000000000001</v>
      </c>
      <c r="U242" s="1" t="s">
        <v>122</v>
      </c>
      <c r="V242" s="1">
        <v>126.6</v>
      </c>
      <c r="W242" s="1">
        <v>138.30000000000001</v>
      </c>
      <c r="X242" s="1">
        <v>141.9</v>
      </c>
      <c r="Y242" s="1">
        <v>121.2</v>
      </c>
      <c r="Z242" s="1">
        <v>135.9</v>
      </c>
      <c r="AA242" s="1">
        <v>151.6</v>
      </c>
      <c r="AB242" s="1">
        <v>139</v>
      </c>
      <c r="AC242" s="1">
        <v>135.69999999999999</v>
      </c>
      <c r="AD242" s="1">
        <v>144.69999999999999</v>
      </c>
    </row>
    <row r="243" spans="1:30" x14ac:dyDescent="0.3">
      <c r="A243" s="1" t="s">
        <v>34</v>
      </c>
      <c r="B243" s="1">
        <v>2019</v>
      </c>
      <c r="C243" s="1" t="s">
        <v>47</v>
      </c>
      <c r="D243" s="1">
        <v>140.9</v>
      </c>
      <c r="E243" s="1">
        <v>160.80000000000001</v>
      </c>
      <c r="F243" s="1">
        <v>139.6</v>
      </c>
      <c r="G243" s="1">
        <v>145.4</v>
      </c>
      <c r="H243" s="1">
        <v>123.5</v>
      </c>
      <c r="I243" s="1">
        <v>146.6</v>
      </c>
      <c r="J243" s="1">
        <v>173.2</v>
      </c>
      <c r="K243" s="1">
        <v>131.6</v>
      </c>
      <c r="L243" s="1">
        <v>113.2</v>
      </c>
      <c r="M243" s="1">
        <v>144.1</v>
      </c>
      <c r="N243" s="1">
        <v>135</v>
      </c>
      <c r="O243" s="1">
        <v>156.80000000000001</v>
      </c>
      <c r="P243" s="1">
        <v>147</v>
      </c>
      <c r="Q243" s="1">
        <v>166.5</v>
      </c>
      <c r="R243" s="1">
        <v>149.19999999999999</v>
      </c>
      <c r="S243" s="1">
        <v>140.6</v>
      </c>
      <c r="T243" s="1">
        <v>147.9</v>
      </c>
      <c r="U243" s="1" t="s">
        <v>122</v>
      </c>
      <c r="V243" s="1">
        <v>139.19999999999999</v>
      </c>
      <c r="W243" s="1">
        <v>144.6</v>
      </c>
      <c r="X243" s="1">
        <v>149</v>
      </c>
      <c r="Y243" s="1">
        <v>126.1</v>
      </c>
      <c r="Z243" s="1">
        <v>141.30000000000001</v>
      </c>
      <c r="AA243" s="1">
        <v>155.19999999999999</v>
      </c>
      <c r="AB243" s="1">
        <v>139.69999999999999</v>
      </c>
      <c r="AC243" s="1">
        <v>140.69999999999999</v>
      </c>
      <c r="AD243" s="1">
        <v>145.80000000000001</v>
      </c>
    </row>
    <row r="244" spans="1:30" x14ac:dyDescent="0.3">
      <c r="A244" s="1" t="s">
        <v>30</v>
      </c>
      <c r="B244" s="1">
        <v>2019</v>
      </c>
      <c r="C244" s="1" t="s">
        <v>49</v>
      </c>
      <c r="D244" s="1">
        <v>141</v>
      </c>
      <c r="E244" s="1">
        <v>161.6</v>
      </c>
      <c r="F244" s="1">
        <v>141.19999999999999</v>
      </c>
      <c r="G244" s="1">
        <v>146.5</v>
      </c>
      <c r="H244" s="1">
        <v>125.6</v>
      </c>
      <c r="I244" s="1">
        <v>145.69999999999999</v>
      </c>
      <c r="J244" s="1">
        <v>178.8</v>
      </c>
      <c r="K244" s="1">
        <v>133.1</v>
      </c>
      <c r="L244" s="1">
        <v>113.6</v>
      </c>
      <c r="M244" s="1">
        <v>145.5</v>
      </c>
      <c r="N244" s="1">
        <v>138.6</v>
      </c>
      <c r="O244" s="1">
        <v>157.4</v>
      </c>
      <c r="P244" s="1">
        <v>148.30000000000001</v>
      </c>
      <c r="Q244" s="1">
        <v>166.3</v>
      </c>
      <c r="R244" s="1">
        <v>151.69999999999999</v>
      </c>
      <c r="S244" s="1">
        <v>146.69999999999999</v>
      </c>
      <c r="T244" s="1">
        <v>151</v>
      </c>
      <c r="U244" s="1" t="s">
        <v>123</v>
      </c>
      <c r="V244" s="1">
        <v>147.69999999999999</v>
      </c>
      <c r="W244" s="1">
        <v>150.6</v>
      </c>
      <c r="X244" s="1">
        <v>153.69999999999999</v>
      </c>
      <c r="Y244" s="1">
        <v>131.69999999999999</v>
      </c>
      <c r="Z244" s="1">
        <v>148.69999999999999</v>
      </c>
      <c r="AA244" s="1">
        <v>160.69999999999999</v>
      </c>
      <c r="AB244" s="1">
        <v>140.30000000000001</v>
      </c>
      <c r="AC244" s="1">
        <v>145.69999999999999</v>
      </c>
      <c r="AD244" s="1">
        <v>148.30000000000001</v>
      </c>
    </row>
    <row r="245" spans="1:30" x14ac:dyDescent="0.3">
      <c r="A245" s="1" t="s">
        <v>32</v>
      </c>
      <c r="B245" s="1">
        <v>2019</v>
      </c>
      <c r="C245" s="1" t="s">
        <v>49</v>
      </c>
      <c r="D245" s="1">
        <v>143.5</v>
      </c>
      <c r="E245" s="1">
        <v>159.80000000000001</v>
      </c>
      <c r="F245" s="1">
        <v>144.69999999999999</v>
      </c>
      <c r="G245" s="1">
        <v>145.6</v>
      </c>
      <c r="H245" s="1">
        <v>121.1</v>
      </c>
      <c r="I245" s="1">
        <v>150.6</v>
      </c>
      <c r="J245" s="1">
        <v>207.2</v>
      </c>
      <c r="K245" s="1">
        <v>131.19999999999999</v>
      </c>
      <c r="L245" s="1">
        <v>114.8</v>
      </c>
      <c r="M245" s="1">
        <v>145.19999999999999</v>
      </c>
      <c r="N245" s="1">
        <v>130.19999999999999</v>
      </c>
      <c r="O245" s="1">
        <v>156.80000000000001</v>
      </c>
      <c r="P245" s="1">
        <v>151.9</v>
      </c>
      <c r="Q245" s="1">
        <v>169.3</v>
      </c>
      <c r="R245" s="1">
        <v>145.9</v>
      </c>
      <c r="S245" s="1">
        <v>132.4</v>
      </c>
      <c r="T245" s="1">
        <v>143.9</v>
      </c>
      <c r="U245" s="1" t="s">
        <v>123</v>
      </c>
      <c r="V245" s="1">
        <v>128.9</v>
      </c>
      <c r="W245" s="1">
        <v>138.69999999999999</v>
      </c>
      <c r="X245" s="1">
        <v>142.4</v>
      </c>
      <c r="Y245" s="1">
        <v>121.5</v>
      </c>
      <c r="Z245" s="1">
        <v>136.19999999999999</v>
      </c>
      <c r="AA245" s="1">
        <v>151.69999999999999</v>
      </c>
      <c r="AB245" s="1">
        <v>139.5</v>
      </c>
      <c r="AC245" s="1">
        <v>136</v>
      </c>
      <c r="AD245" s="1">
        <v>146</v>
      </c>
    </row>
    <row r="246" spans="1:30" x14ac:dyDescent="0.3">
      <c r="A246" s="1" t="s">
        <v>34</v>
      </c>
      <c r="B246" s="1">
        <v>2019</v>
      </c>
      <c r="C246" s="1" t="s">
        <v>49</v>
      </c>
      <c r="D246" s="1">
        <v>141.80000000000001</v>
      </c>
      <c r="E246" s="1">
        <v>161</v>
      </c>
      <c r="F246" s="1">
        <v>142.6</v>
      </c>
      <c r="G246" s="1">
        <v>146.19999999999999</v>
      </c>
      <c r="H246" s="1">
        <v>123.9</v>
      </c>
      <c r="I246" s="1">
        <v>148</v>
      </c>
      <c r="J246" s="1">
        <v>188.4</v>
      </c>
      <c r="K246" s="1">
        <v>132.5</v>
      </c>
      <c r="L246" s="1">
        <v>114</v>
      </c>
      <c r="M246" s="1">
        <v>145.4</v>
      </c>
      <c r="N246" s="1">
        <v>135.1</v>
      </c>
      <c r="O246" s="1">
        <v>157.1</v>
      </c>
      <c r="P246" s="1">
        <v>149.6</v>
      </c>
      <c r="Q246" s="1">
        <v>167.1</v>
      </c>
      <c r="R246" s="1">
        <v>149.4</v>
      </c>
      <c r="S246" s="1">
        <v>140.80000000000001</v>
      </c>
      <c r="T246" s="1">
        <v>148.19999999999999</v>
      </c>
      <c r="U246" s="1" t="s">
        <v>123</v>
      </c>
      <c r="V246" s="1">
        <v>140.6</v>
      </c>
      <c r="W246" s="1">
        <v>145</v>
      </c>
      <c r="X246" s="1">
        <v>149.4</v>
      </c>
      <c r="Y246" s="1">
        <v>126.3</v>
      </c>
      <c r="Z246" s="1">
        <v>141.69999999999999</v>
      </c>
      <c r="AA246" s="1">
        <v>155.4</v>
      </c>
      <c r="AB246" s="1">
        <v>140</v>
      </c>
      <c r="AC246" s="1">
        <v>141</v>
      </c>
      <c r="AD246" s="1">
        <v>147.19999999999999</v>
      </c>
    </row>
    <row r="247" spans="1:30" x14ac:dyDescent="0.3">
      <c r="A247" s="1" t="s">
        <v>30</v>
      </c>
      <c r="B247" s="1">
        <v>2019</v>
      </c>
      <c r="C247" s="1" t="s">
        <v>52</v>
      </c>
      <c r="D247" s="1">
        <v>141.80000000000001</v>
      </c>
      <c r="E247" s="1">
        <v>163.69999999999999</v>
      </c>
      <c r="F247" s="1">
        <v>143.80000000000001</v>
      </c>
      <c r="G247" s="1">
        <v>147.1</v>
      </c>
      <c r="H247" s="1">
        <v>126</v>
      </c>
      <c r="I247" s="1">
        <v>146.19999999999999</v>
      </c>
      <c r="J247" s="1">
        <v>191.4</v>
      </c>
      <c r="K247" s="1">
        <v>136.19999999999999</v>
      </c>
      <c r="L247" s="1">
        <v>113.8</v>
      </c>
      <c r="M247" s="1">
        <v>147.30000000000001</v>
      </c>
      <c r="N247" s="1">
        <v>138.69999999999999</v>
      </c>
      <c r="O247" s="1">
        <v>157.69999999999999</v>
      </c>
      <c r="P247" s="1">
        <v>150.9</v>
      </c>
      <c r="Q247" s="1">
        <v>167.2</v>
      </c>
      <c r="R247" s="1">
        <v>152.30000000000001</v>
      </c>
      <c r="S247" s="1">
        <v>147</v>
      </c>
      <c r="T247" s="1">
        <v>151.5</v>
      </c>
      <c r="U247" s="1" t="s">
        <v>124</v>
      </c>
      <c r="V247" s="1">
        <v>148.4</v>
      </c>
      <c r="W247" s="1">
        <v>150.9</v>
      </c>
      <c r="X247" s="1">
        <v>154.30000000000001</v>
      </c>
      <c r="Y247" s="1">
        <v>132.1</v>
      </c>
      <c r="Z247" s="1">
        <v>149.1</v>
      </c>
      <c r="AA247" s="1">
        <v>160.80000000000001</v>
      </c>
      <c r="AB247" s="1">
        <v>140.6</v>
      </c>
      <c r="AC247" s="1">
        <v>146.1</v>
      </c>
      <c r="AD247" s="1">
        <v>149.9</v>
      </c>
    </row>
    <row r="248" spans="1:30" x14ac:dyDescent="0.3">
      <c r="A248" s="1" t="s">
        <v>32</v>
      </c>
      <c r="B248" s="1">
        <v>2019</v>
      </c>
      <c r="C248" s="1" t="s">
        <v>52</v>
      </c>
      <c r="D248" s="1">
        <v>144.1</v>
      </c>
      <c r="E248" s="1">
        <v>162.4</v>
      </c>
      <c r="F248" s="1">
        <v>148.4</v>
      </c>
      <c r="G248" s="1">
        <v>145.9</v>
      </c>
      <c r="H248" s="1">
        <v>121.5</v>
      </c>
      <c r="I248" s="1">
        <v>148.80000000000001</v>
      </c>
      <c r="J248" s="1">
        <v>215.7</v>
      </c>
      <c r="K248" s="1">
        <v>134.6</v>
      </c>
      <c r="L248" s="1">
        <v>115</v>
      </c>
      <c r="M248" s="1">
        <v>146.30000000000001</v>
      </c>
      <c r="N248" s="1">
        <v>130.5</v>
      </c>
      <c r="O248" s="1">
        <v>157.19999999999999</v>
      </c>
      <c r="P248" s="1">
        <v>153.6</v>
      </c>
      <c r="Q248" s="1">
        <v>169.9</v>
      </c>
      <c r="R248" s="1">
        <v>146.30000000000001</v>
      </c>
      <c r="S248" s="1">
        <v>132.6</v>
      </c>
      <c r="T248" s="1">
        <v>144.19999999999999</v>
      </c>
      <c r="U248" s="1" t="s">
        <v>124</v>
      </c>
      <c r="V248" s="1">
        <v>132.19999999999999</v>
      </c>
      <c r="W248" s="1">
        <v>139.1</v>
      </c>
      <c r="X248" s="1">
        <v>142.80000000000001</v>
      </c>
      <c r="Y248" s="1">
        <v>121.7</v>
      </c>
      <c r="Z248" s="1">
        <v>136.69999999999999</v>
      </c>
      <c r="AA248" s="1">
        <v>151.80000000000001</v>
      </c>
      <c r="AB248" s="1">
        <v>139.80000000000001</v>
      </c>
      <c r="AC248" s="1">
        <v>136.30000000000001</v>
      </c>
      <c r="AD248" s="1">
        <v>147</v>
      </c>
    </row>
    <row r="249" spans="1:30" x14ac:dyDescent="0.3">
      <c r="A249" s="1" t="s">
        <v>34</v>
      </c>
      <c r="B249" s="1">
        <v>2019</v>
      </c>
      <c r="C249" s="1" t="s">
        <v>52</v>
      </c>
      <c r="D249" s="1">
        <v>142.5</v>
      </c>
      <c r="E249" s="1">
        <v>163.19999999999999</v>
      </c>
      <c r="F249" s="1">
        <v>145.6</v>
      </c>
      <c r="G249" s="1">
        <v>146.69999999999999</v>
      </c>
      <c r="H249" s="1">
        <v>124.3</v>
      </c>
      <c r="I249" s="1">
        <v>147.4</v>
      </c>
      <c r="J249" s="1">
        <v>199.6</v>
      </c>
      <c r="K249" s="1">
        <v>135.69999999999999</v>
      </c>
      <c r="L249" s="1">
        <v>114.2</v>
      </c>
      <c r="M249" s="1">
        <v>147</v>
      </c>
      <c r="N249" s="1">
        <v>135.30000000000001</v>
      </c>
      <c r="O249" s="1">
        <v>157.5</v>
      </c>
      <c r="P249" s="1">
        <v>151.9</v>
      </c>
      <c r="Q249" s="1">
        <v>167.9</v>
      </c>
      <c r="R249" s="1">
        <v>149.9</v>
      </c>
      <c r="S249" s="1">
        <v>141</v>
      </c>
      <c r="T249" s="1">
        <v>148.6</v>
      </c>
      <c r="U249" s="1" t="s">
        <v>124</v>
      </c>
      <c r="V249" s="1">
        <v>142.30000000000001</v>
      </c>
      <c r="W249" s="1">
        <v>145.30000000000001</v>
      </c>
      <c r="X249" s="1">
        <v>149.9</v>
      </c>
      <c r="Y249" s="1">
        <v>126.6</v>
      </c>
      <c r="Z249" s="1">
        <v>142.1</v>
      </c>
      <c r="AA249" s="1">
        <v>155.5</v>
      </c>
      <c r="AB249" s="1">
        <v>140.30000000000001</v>
      </c>
      <c r="AC249" s="1">
        <v>141.30000000000001</v>
      </c>
      <c r="AD249" s="1">
        <v>148.6</v>
      </c>
    </row>
    <row r="250" spans="1:30" x14ac:dyDescent="0.3">
      <c r="A250" s="1" t="s">
        <v>30</v>
      </c>
      <c r="B250" s="1">
        <v>2019</v>
      </c>
      <c r="C250" s="1" t="s">
        <v>54</v>
      </c>
      <c r="D250" s="1">
        <v>142.80000000000001</v>
      </c>
      <c r="E250" s="1">
        <v>165.3</v>
      </c>
      <c r="F250" s="1">
        <v>149.5</v>
      </c>
      <c r="G250" s="1">
        <v>148.69999999999999</v>
      </c>
      <c r="H250" s="1">
        <v>127.5</v>
      </c>
      <c r="I250" s="1">
        <v>144.30000000000001</v>
      </c>
      <c r="J250" s="1">
        <v>209.5</v>
      </c>
      <c r="K250" s="1">
        <v>138.80000000000001</v>
      </c>
      <c r="L250" s="1">
        <v>113.6</v>
      </c>
      <c r="M250" s="1">
        <v>149.1</v>
      </c>
      <c r="N250" s="1">
        <v>139.30000000000001</v>
      </c>
      <c r="O250" s="1">
        <v>158.30000000000001</v>
      </c>
      <c r="P250" s="1">
        <v>154.30000000000001</v>
      </c>
      <c r="Q250" s="1">
        <v>167.8</v>
      </c>
      <c r="R250" s="1">
        <v>152.6</v>
      </c>
      <c r="S250" s="1">
        <v>147.30000000000001</v>
      </c>
      <c r="T250" s="1">
        <v>151.9</v>
      </c>
      <c r="U250" s="1" t="s">
        <v>125</v>
      </c>
      <c r="V250" s="1">
        <v>149.9</v>
      </c>
      <c r="W250" s="1">
        <v>151.19999999999999</v>
      </c>
      <c r="X250" s="1">
        <v>154.80000000000001</v>
      </c>
      <c r="Y250" s="1">
        <v>135</v>
      </c>
      <c r="Z250" s="1">
        <v>149.5</v>
      </c>
      <c r="AA250" s="1">
        <v>161.1</v>
      </c>
      <c r="AB250" s="1">
        <v>140.6</v>
      </c>
      <c r="AC250" s="1">
        <v>147.1</v>
      </c>
      <c r="AD250" s="1">
        <v>152.30000000000001</v>
      </c>
    </row>
    <row r="251" spans="1:30" x14ac:dyDescent="0.3">
      <c r="A251" s="1" t="s">
        <v>32</v>
      </c>
      <c r="B251" s="1">
        <v>2019</v>
      </c>
      <c r="C251" s="1" t="s">
        <v>54</v>
      </c>
      <c r="D251" s="1">
        <v>144.9</v>
      </c>
      <c r="E251" s="1">
        <v>164.5</v>
      </c>
      <c r="F251" s="1">
        <v>153.69999999999999</v>
      </c>
      <c r="G251" s="1">
        <v>147.5</v>
      </c>
      <c r="H251" s="1">
        <v>122.7</v>
      </c>
      <c r="I251" s="1">
        <v>147.19999999999999</v>
      </c>
      <c r="J251" s="1">
        <v>231.5</v>
      </c>
      <c r="K251" s="1">
        <v>137.19999999999999</v>
      </c>
      <c r="L251" s="1">
        <v>114.7</v>
      </c>
      <c r="M251" s="1">
        <v>148</v>
      </c>
      <c r="N251" s="1">
        <v>130.80000000000001</v>
      </c>
      <c r="O251" s="1">
        <v>157.69999999999999</v>
      </c>
      <c r="P251" s="1">
        <v>156.30000000000001</v>
      </c>
      <c r="Q251" s="1">
        <v>170.4</v>
      </c>
      <c r="R251" s="1">
        <v>146.80000000000001</v>
      </c>
      <c r="S251" s="1">
        <v>132.80000000000001</v>
      </c>
      <c r="T251" s="1">
        <v>144.6</v>
      </c>
      <c r="U251" s="1" t="s">
        <v>125</v>
      </c>
      <c r="V251" s="1">
        <v>133.6</v>
      </c>
      <c r="W251" s="1">
        <v>139.80000000000001</v>
      </c>
      <c r="X251" s="1">
        <v>143.19999999999999</v>
      </c>
      <c r="Y251" s="1">
        <v>125.2</v>
      </c>
      <c r="Z251" s="1">
        <v>136.80000000000001</v>
      </c>
      <c r="AA251" s="1">
        <v>151.9</v>
      </c>
      <c r="AB251" s="1">
        <v>140.19999999999999</v>
      </c>
      <c r="AC251" s="1">
        <v>137.69999999999999</v>
      </c>
      <c r="AD251" s="1">
        <v>148.30000000000001</v>
      </c>
    </row>
    <row r="252" spans="1:30" x14ac:dyDescent="0.3">
      <c r="A252" s="1" t="s">
        <v>34</v>
      </c>
      <c r="B252" s="1">
        <v>2019</v>
      </c>
      <c r="C252" s="1" t="s">
        <v>54</v>
      </c>
      <c r="D252" s="1">
        <v>143.5</v>
      </c>
      <c r="E252" s="1">
        <v>165</v>
      </c>
      <c r="F252" s="1">
        <v>151.1</v>
      </c>
      <c r="G252" s="1">
        <v>148.30000000000001</v>
      </c>
      <c r="H252" s="1">
        <v>125.7</v>
      </c>
      <c r="I252" s="1">
        <v>145.69999999999999</v>
      </c>
      <c r="J252" s="1">
        <v>217</v>
      </c>
      <c r="K252" s="1">
        <v>138.30000000000001</v>
      </c>
      <c r="L252" s="1">
        <v>114</v>
      </c>
      <c r="M252" s="1">
        <v>148.69999999999999</v>
      </c>
      <c r="N252" s="1">
        <v>135.80000000000001</v>
      </c>
      <c r="O252" s="1">
        <v>158</v>
      </c>
      <c r="P252" s="1">
        <v>155</v>
      </c>
      <c r="Q252" s="1">
        <v>168.5</v>
      </c>
      <c r="R252" s="1">
        <v>150.30000000000001</v>
      </c>
      <c r="S252" s="1">
        <v>141.30000000000001</v>
      </c>
      <c r="T252" s="1">
        <v>149</v>
      </c>
      <c r="U252" s="1" t="s">
        <v>125</v>
      </c>
      <c r="V252" s="1">
        <v>143.69999999999999</v>
      </c>
      <c r="W252" s="1">
        <v>145.80000000000001</v>
      </c>
      <c r="X252" s="1">
        <v>150.4</v>
      </c>
      <c r="Y252" s="1">
        <v>129.80000000000001</v>
      </c>
      <c r="Z252" s="1">
        <v>142.30000000000001</v>
      </c>
      <c r="AA252" s="1">
        <v>155.69999999999999</v>
      </c>
      <c r="AB252" s="1">
        <v>140.4</v>
      </c>
      <c r="AC252" s="1">
        <v>142.5</v>
      </c>
      <c r="AD252" s="1">
        <v>150.4</v>
      </c>
    </row>
    <row r="253" spans="1:30" x14ac:dyDescent="0.3">
      <c r="A253" s="1" t="s">
        <v>30</v>
      </c>
      <c r="B253" s="1">
        <v>2020</v>
      </c>
      <c r="C253" s="1" t="s">
        <v>31</v>
      </c>
      <c r="D253" s="1">
        <v>143.69999999999999</v>
      </c>
      <c r="E253" s="1">
        <v>167.3</v>
      </c>
      <c r="F253" s="1">
        <v>153.5</v>
      </c>
      <c r="G253" s="1">
        <v>150.5</v>
      </c>
      <c r="H253" s="1">
        <v>132</v>
      </c>
      <c r="I253" s="1">
        <v>142.19999999999999</v>
      </c>
      <c r="J253" s="1">
        <v>191.5</v>
      </c>
      <c r="K253" s="1">
        <v>141.1</v>
      </c>
      <c r="L253" s="1">
        <v>113.8</v>
      </c>
      <c r="M253" s="1">
        <v>151.6</v>
      </c>
      <c r="N253" s="1">
        <v>139.69999999999999</v>
      </c>
      <c r="O253" s="1">
        <v>158.69999999999999</v>
      </c>
      <c r="P253" s="1">
        <v>153</v>
      </c>
      <c r="Q253" s="1">
        <v>168.6</v>
      </c>
      <c r="R253" s="1">
        <v>152.80000000000001</v>
      </c>
      <c r="S253" s="1">
        <v>147.4</v>
      </c>
      <c r="T253" s="1">
        <v>152.1</v>
      </c>
      <c r="U253" s="1" t="s">
        <v>126</v>
      </c>
      <c r="V253" s="1">
        <v>150.4</v>
      </c>
      <c r="W253" s="1">
        <v>151.69999999999999</v>
      </c>
      <c r="X253" s="1">
        <v>155.69999999999999</v>
      </c>
      <c r="Y253" s="1">
        <v>136.30000000000001</v>
      </c>
      <c r="Z253" s="1">
        <v>150.1</v>
      </c>
      <c r="AA253" s="1">
        <v>161.69999999999999</v>
      </c>
      <c r="AB253" s="1">
        <v>142.5</v>
      </c>
      <c r="AC253" s="1">
        <v>148.1</v>
      </c>
      <c r="AD253" s="1">
        <v>151.9</v>
      </c>
    </row>
    <row r="254" spans="1:30" x14ac:dyDescent="0.3">
      <c r="A254" s="1" t="s">
        <v>32</v>
      </c>
      <c r="B254" s="1">
        <v>2020</v>
      </c>
      <c r="C254" s="1" t="s">
        <v>31</v>
      </c>
      <c r="D254" s="1">
        <v>145.6</v>
      </c>
      <c r="E254" s="1">
        <v>167.6</v>
      </c>
      <c r="F254" s="1">
        <v>157</v>
      </c>
      <c r="G254" s="1">
        <v>149.30000000000001</v>
      </c>
      <c r="H254" s="1">
        <v>126.3</v>
      </c>
      <c r="I254" s="1">
        <v>144.4</v>
      </c>
      <c r="J254" s="1">
        <v>207.8</v>
      </c>
      <c r="K254" s="1">
        <v>139.1</v>
      </c>
      <c r="L254" s="1">
        <v>114.8</v>
      </c>
      <c r="M254" s="1">
        <v>149.5</v>
      </c>
      <c r="N254" s="1">
        <v>131.1</v>
      </c>
      <c r="O254" s="1">
        <v>158.5</v>
      </c>
      <c r="P254" s="1">
        <v>154.4</v>
      </c>
      <c r="Q254" s="1">
        <v>170.8</v>
      </c>
      <c r="R254" s="1">
        <v>147</v>
      </c>
      <c r="S254" s="1">
        <v>133.19999999999999</v>
      </c>
      <c r="T254" s="1">
        <v>144.9</v>
      </c>
      <c r="U254" s="1" t="s">
        <v>126</v>
      </c>
      <c r="V254" s="1">
        <v>135.1</v>
      </c>
      <c r="W254" s="1">
        <v>140.1</v>
      </c>
      <c r="X254" s="1">
        <v>143.80000000000001</v>
      </c>
      <c r="Y254" s="1">
        <v>126.1</v>
      </c>
      <c r="Z254" s="1">
        <v>137.19999999999999</v>
      </c>
      <c r="AA254" s="1">
        <v>152.1</v>
      </c>
      <c r="AB254" s="1">
        <v>142.1</v>
      </c>
      <c r="AC254" s="1">
        <v>138.4</v>
      </c>
      <c r="AD254" s="1">
        <v>148.19999999999999</v>
      </c>
    </row>
    <row r="255" spans="1:30" x14ac:dyDescent="0.3">
      <c r="A255" s="1" t="s">
        <v>34</v>
      </c>
      <c r="B255" s="1">
        <v>2020</v>
      </c>
      <c r="C255" s="1" t="s">
        <v>31</v>
      </c>
      <c r="D255" s="1">
        <v>144.30000000000001</v>
      </c>
      <c r="E255" s="1">
        <v>167.4</v>
      </c>
      <c r="F255" s="1">
        <v>154.9</v>
      </c>
      <c r="G255" s="1">
        <v>150.1</v>
      </c>
      <c r="H255" s="1">
        <v>129.9</v>
      </c>
      <c r="I255" s="1">
        <v>143.19999999999999</v>
      </c>
      <c r="J255" s="1">
        <v>197</v>
      </c>
      <c r="K255" s="1">
        <v>140.4</v>
      </c>
      <c r="L255" s="1">
        <v>114.1</v>
      </c>
      <c r="M255" s="1">
        <v>150.9</v>
      </c>
      <c r="N255" s="1">
        <v>136.1</v>
      </c>
      <c r="O255" s="1">
        <v>158.6</v>
      </c>
      <c r="P255" s="1">
        <v>153.5</v>
      </c>
      <c r="Q255" s="1">
        <v>169.2</v>
      </c>
      <c r="R255" s="1">
        <v>150.5</v>
      </c>
      <c r="S255" s="1">
        <v>141.5</v>
      </c>
      <c r="T255" s="1">
        <v>149.19999999999999</v>
      </c>
      <c r="U255" s="1" t="s">
        <v>126</v>
      </c>
      <c r="V255" s="1">
        <v>144.6</v>
      </c>
      <c r="W255" s="1">
        <v>146.19999999999999</v>
      </c>
      <c r="X255" s="1">
        <v>151.19999999999999</v>
      </c>
      <c r="Y255" s="1">
        <v>130.9</v>
      </c>
      <c r="Z255" s="1">
        <v>142.80000000000001</v>
      </c>
      <c r="AA255" s="1">
        <v>156.1</v>
      </c>
      <c r="AB255" s="1">
        <v>142.30000000000001</v>
      </c>
      <c r="AC255" s="1">
        <v>143.4</v>
      </c>
      <c r="AD255" s="1">
        <v>150.19999999999999</v>
      </c>
    </row>
    <row r="256" spans="1:30" x14ac:dyDescent="0.3">
      <c r="A256" s="1" t="s">
        <v>30</v>
      </c>
      <c r="B256" s="1">
        <v>2020</v>
      </c>
      <c r="C256" s="1" t="s">
        <v>35</v>
      </c>
      <c r="D256" s="1">
        <v>144.19999999999999</v>
      </c>
      <c r="E256" s="1">
        <v>167.5</v>
      </c>
      <c r="F256" s="1">
        <v>150.9</v>
      </c>
      <c r="G256" s="1">
        <v>150.9</v>
      </c>
      <c r="H256" s="1">
        <v>133.69999999999999</v>
      </c>
      <c r="I256" s="1">
        <v>140.69999999999999</v>
      </c>
      <c r="J256" s="1">
        <v>165.1</v>
      </c>
      <c r="K256" s="1">
        <v>141.80000000000001</v>
      </c>
      <c r="L256" s="1">
        <v>113.1</v>
      </c>
      <c r="M256" s="1">
        <v>152.80000000000001</v>
      </c>
      <c r="N256" s="1">
        <v>140.1</v>
      </c>
      <c r="O256" s="1">
        <v>159.19999999999999</v>
      </c>
      <c r="P256" s="1">
        <v>149.80000000000001</v>
      </c>
      <c r="Q256" s="1">
        <v>169.4</v>
      </c>
      <c r="R256" s="1">
        <v>153</v>
      </c>
      <c r="S256" s="1">
        <v>147.5</v>
      </c>
      <c r="T256" s="1">
        <v>152.30000000000001</v>
      </c>
      <c r="U256" s="1" t="s">
        <v>127</v>
      </c>
      <c r="V256" s="1">
        <v>152.30000000000001</v>
      </c>
      <c r="W256" s="1">
        <v>151.80000000000001</v>
      </c>
      <c r="X256" s="1">
        <v>156.19999999999999</v>
      </c>
      <c r="Y256" s="1">
        <v>136</v>
      </c>
      <c r="Z256" s="1">
        <v>150.4</v>
      </c>
      <c r="AA256" s="1">
        <v>161.9</v>
      </c>
      <c r="AB256" s="1">
        <v>143.4</v>
      </c>
      <c r="AC256" s="1">
        <v>148.4</v>
      </c>
      <c r="AD256" s="1">
        <v>150.4</v>
      </c>
    </row>
    <row r="257" spans="1:30" x14ac:dyDescent="0.3">
      <c r="A257" s="1" t="s">
        <v>32</v>
      </c>
      <c r="B257" s="1">
        <v>2020</v>
      </c>
      <c r="C257" s="1" t="s">
        <v>35</v>
      </c>
      <c r="D257" s="1">
        <v>146.19999999999999</v>
      </c>
      <c r="E257" s="1">
        <v>167.6</v>
      </c>
      <c r="F257" s="1">
        <v>153.1</v>
      </c>
      <c r="G257" s="1">
        <v>150.69999999999999</v>
      </c>
      <c r="H257" s="1">
        <v>127.4</v>
      </c>
      <c r="I257" s="1">
        <v>143.1</v>
      </c>
      <c r="J257" s="1">
        <v>181.7</v>
      </c>
      <c r="K257" s="1">
        <v>139.6</v>
      </c>
      <c r="L257" s="1">
        <v>114.6</v>
      </c>
      <c r="M257" s="1">
        <v>150.4</v>
      </c>
      <c r="N257" s="1">
        <v>131.5</v>
      </c>
      <c r="O257" s="1">
        <v>159</v>
      </c>
      <c r="P257" s="1">
        <v>151.69999999999999</v>
      </c>
      <c r="Q257" s="1">
        <v>172</v>
      </c>
      <c r="R257" s="1">
        <v>147.30000000000001</v>
      </c>
      <c r="S257" s="1">
        <v>133.5</v>
      </c>
      <c r="T257" s="1">
        <v>145.19999999999999</v>
      </c>
      <c r="U257" s="1" t="s">
        <v>127</v>
      </c>
      <c r="V257" s="1">
        <v>138.9</v>
      </c>
      <c r="W257" s="1">
        <v>140.4</v>
      </c>
      <c r="X257" s="1">
        <v>144.4</v>
      </c>
      <c r="Y257" s="1">
        <v>125.2</v>
      </c>
      <c r="Z257" s="1">
        <v>137.69999999999999</v>
      </c>
      <c r="AA257" s="1">
        <v>152.19999999999999</v>
      </c>
      <c r="AB257" s="1">
        <v>143.5</v>
      </c>
      <c r="AC257" s="1">
        <v>138.4</v>
      </c>
      <c r="AD257" s="1">
        <v>147.69999999999999</v>
      </c>
    </row>
    <row r="258" spans="1:30" x14ac:dyDescent="0.3">
      <c r="A258" s="1" t="s">
        <v>34</v>
      </c>
      <c r="B258" s="1">
        <v>2020</v>
      </c>
      <c r="C258" s="1" t="s">
        <v>35</v>
      </c>
      <c r="D258" s="1">
        <v>144.80000000000001</v>
      </c>
      <c r="E258" s="1">
        <v>167.5</v>
      </c>
      <c r="F258" s="1">
        <v>151.80000000000001</v>
      </c>
      <c r="G258" s="1">
        <v>150.80000000000001</v>
      </c>
      <c r="H258" s="1">
        <v>131.4</v>
      </c>
      <c r="I258" s="1">
        <v>141.80000000000001</v>
      </c>
      <c r="J258" s="1">
        <v>170.7</v>
      </c>
      <c r="K258" s="1">
        <v>141.1</v>
      </c>
      <c r="L258" s="1">
        <v>113.6</v>
      </c>
      <c r="M258" s="1">
        <v>152</v>
      </c>
      <c r="N258" s="1">
        <v>136.5</v>
      </c>
      <c r="O258" s="1">
        <v>159.1</v>
      </c>
      <c r="P258" s="1">
        <v>150.5</v>
      </c>
      <c r="Q258" s="1">
        <v>170.1</v>
      </c>
      <c r="R258" s="1">
        <v>150.80000000000001</v>
      </c>
      <c r="S258" s="1">
        <v>141.69999999999999</v>
      </c>
      <c r="T258" s="1">
        <v>149.5</v>
      </c>
      <c r="U258" s="1" t="s">
        <v>127</v>
      </c>
      <c r="V258" s="1">
        <v>147.19999999999999</v>
      </c>
      <c r="W258" s="1">
        <v>146.4</v>
      </c>
      <c r="X258" s="1">
        <v>151.69999999999999</v>
      </c>
      <c r="Y258" s="1">
        <v>130.30000000000001</v>
      </c>
      <c r="Z258" s="1">
        <v>143.19999999999999</v>
      </c>
      <c r="AA258" s="1">
        <v>156.19999999999999</v>
      </c>
      <c r="AB258" s="1">
        <v>143.4</v>
      </c>
      <c r="AC258" s="1">
        <v>143.6</v>
      </c>
      <c r="AD258" s="1">
        <v>149.1</v>
      </c>
    </row>
    <row r="259" spans="1:30" x14ac:dyDescent="0.3">
      <c r="A259" s="1" t="s">
        <v>30</v>
      </c>
      <c r="B259" s="1">
        <v>2020</v>
      </c>
      <c r="C259" s="1" t="s">
        <v>37</v>
      </c>
      <c r="D259" s="1">
        <v>144.4</v>
      </c>
      <c r="E259" s="1">
        <v>166.8</v>
      </c>
      <c r="F259" s="1">
        <v>147.6</v>
      </c>
      <c r="G259" s="1">
        <v>151.69999999999999</v>
      </c>
      <c r="H259" s="1">
        <v>133.30000000000001</v>
      </c>
      <c r="I259" s="1">
        <v>141.80000000000001</v>
      </c>
      <c r="J259" s="1">
        <v>152.30000000000001</v>
      </c>
      <c r="K259" s="1">
        <v>141.80000000000001</v>
      </c>
      <c r="L259" s="1">
        <v>112.6</v>
      </c>
      <c r="M259" s="1">
        <v>154</v>
      </c>
      <c r="N259" s="1">
        <v>140.1</v>
      </c>
      <c r="O259" s="1">
        <v>160</v>
      </c>
      <c r="P259" s="1">
        <v>148.19999999999999</v>
      </c>
      <c r="Q259" s="1">
        <v>170.5</v>
      </c>
      <c r="R259" s="1">
        <v>153.4</v>
      </c>
      <c r="S259" s="1">
        <v>147.6</v>
      </c>
      <c r="T259" s="1">
        <v>152.5</v>
      </c>
      <c r="U259" s="1" t="s">
        <v>128</v>
      </c>
      <c r="V259" s="1">
        <v>153.4</v>
      </c>
      <c r="W259" s="1">
        <v>151.5</v>
      </c>
      <c r="X259" s="1">
        <v>156.69999999999999</v>
      </c>
      <c r="Y259" s="1">
        <v>135.80000000000001</v>
      </c>
      <c r="Z259" s="1">
        <v>151.19999999999999</v>
      </c>
      <c r="AA259" s="1">
        <v>161.19999999999999</v>
      </c>
      <c r="AB259" s="1">
        <v>145.1</v>
      </c>
      <c r="AC259" s="1">
        <v>148.6</v>
      </c>
      <c r="AD259" s="1">
        <v>149.80000000000001</v>
      </c>
    </row>
    <row r="260" spans="1:30" x14ac:dyDescent="0.3">
      <c r="A260" s="1" t="s">
        <v>32</v>
      </c>
      <c r="B260" s="1">
        <v>2020</v>
      </c>
      <c r="C260" s="1" t="s">
        <v>37</v>
      </c>
      <c r="D260" s="1">
        <v>146.5</v>
      </c>
      <c r="E260" s="1">
        <v>167.5</v>
      </c>
      <c r="F260" s="1">
        <v>148.9</v>
      </c>
      <c r="G260" s="1">
        <v>151.1</v>
      </c>
      <c r="H260" s="1">
        <v>127.5</v>
      </c>
      <c r="I260" s="1">
        <v>143.30000000000001</v>
      </c>
      <c r="J260" s="1">
        <v>167</v>
      </c>
      <c r="K260" s="1">
        <v>139.69999999999999</v>
      </c>
      <c r="L260" s="1">
        <v>114.4</v>
      </c>
      <c r="M260" s="1">
        <v>151.5</v>
      </c>
      <c r="N260" s="1">
        <v>131.9</v>
      </c>
      <c r="O260" s="1">
        <v>159.1</v>
      </c>
      <c r="P260" s="1">
        <v>150.1</v>
      </c>
      <c r="Q260" s="1">
        <v>173.3</v>
      </c>
      <c r="R260" s="1">
        <v>147.69999999999999</v>
      </c>
      <c r="S260" s="1">
        <v>133.80000000000001</v>
      </c>
      <c r="T260" s="1">
        <v>145.6</v>
      </c>
      <c r="U260" s="1" t="s">
        <v>128</v>
      </c>
      <c r="V260" s="1">
        <v>141.4</v>
      </c>
      <c r="W260" s="1">
        <v>140.80000000000001</v>
      </c>
      <c r="X260" s="1">
        <v>145</v>
      </c>
      <c r="Y260" s="1">
        <v>124.6</v>
      </c>
      <c r="Z260" s="1">
        <v>137.9</v>
      </c>
      <c r="AA260" s="1">
        <v>152.5</v>
      </c>
      <c r="AB260" s="1">
        <v>145.30000000000001</v>
      </c>
      <c r="AC260" s="1">
        <v>138.69999999999999</v>
      </c>
      <c r="AD260" s="1">
        <v>147.30000000000001</v>
      </c>
    </row>
    <row r="261" spans="1:30" x14ac:dyDescent="0.3">
      <c r="A261" s="1" t="s">
        <v>34</v>
      </c>
      <c r="B261" s="1">
        <v>2020</v>
      </c>
      <c r="C261" s="1" t="s">
        <v>37</v>
      </c>
      <c r="D261" s="1">
        <v>145.1</v>
      </c>
      <c r="E261" s="1">
        <v>167</v>
      </c>
      <c r="F261" s="1">
        <v>148.1</v>
      </c>
      <c r="G261" s="1">
        <v>151.5</v>
      </c>
      <c r="H261" s="1">
        <v>131.19999999999999</v>
      </c>
      <c r="I261" s="1">
        <v>142.5</v>
      </c>
      <c r="J261" s="1">
        <v>157.30000000000001</v>
      </c>
      <c r="K261" s="1">
        <v>141.1</v>
      </c>
      <c r="L261" s="1">
        <v>113.2</v>
      </c>
      <c r="M261" s="1">
        <v>153.19999999999999</v>
      </c>
      <c r="N261" s="1">
        <v>136.69999999999999</v>
      </c>
      <c r="O261" s="1">
        <v>159.6</v>
      </c>
      <c r="P261" s="1">
        <v>148.9</v>
      </c>
      <c r="Q261" s="1">
        <v>171.2</v>
      </c>
      <c r="R261" s="1">
        <v>151.19999999999999</v>
      </c>
      <c r="S261" s="1">
        <v>141.9</v>
      </c>
      <c r="T261" s="1">
        <v>149.80000000000001</v>
      </c>
      <c r="U261" s="1" t="s">
        <v>128</v>
      </c>
      <c r="V261" s="1">
        <v>148.9</v>
      </c>
      <c r="W261" s="1">
        <v>146.4</v>
      </c>
      <c r="X261" s="1">
        <v>152.30000000000001</v>
      </c>
      <c r="Y261" s="1">
        <v>129.9</v>
      </c>
      <c r="Z261" s="1">
        <v>143.69999999999999</v>
      </c>
      <c r="AA261" s="1">
        <v>156.1</v>
      </c>
      <c r="AB261" s="1">
        <v>145.19999999999999</v>
      </c>
      <c r="AC261" s="1">
        <v>143.80000000000001</v>
      </c>
      <c r="AD261" s="1">
        <v>148.6</v>
      </c>
    </row>
    <row r="262" spans="1:30" x14ac:dyDescent="0.3">
      <c r="A262" s="1" t="s">
        <v>30</v>
      </c>
      <c r="B262" s="1">
        <v>2020</v>
      </c>
      <c r="C262" s="1" t="s">
        <v>38</v>
      </c>
      <c r="D262" s="1">
        <v>147.19999999999999</v>
      </c>
      <c r="E262" s="1">
        <v>153.69999999999999</v>
      </c>
      <c r="F262" s="1">
        <v>146.9</v>
      </c>
      <c r="G262" s="1">
        <v>155.6</v>
      </c>
      <c r="H262" s="1">
        <v>137.1</v>
      </c>
      <c r="I262" s="1">
        <v>147.30000000000001</v>
      </c>
      <c r="J262" s="1">
        <v>162.69999999999999</v>
      </c>
      <c r="K262" s="1">
        <v>150.19999999999999</v>
      </c>
      <c r="L262" s="1">
        <v>119.8</v>
      </c>
      <c r="M262" s="1">
        <v>158.69999999999999</v>
      </c>
      <c r="N262" s="1">
        <v>139.19999999999999</v>
      </c>
      <c r="O262" s="1">
        <v>146.6</v>
      </c>
      <c r="P262" s="1">
        <v>150.1</v>
      </c>
      <c r="Q262" s="1">
        <v>152.80000000000001</v>
      </c>
      <c r="R262" s="1">
        <v>140.30000000000001</v>
      </c>
      <c r="S262" s="1">
        <v>133.30000000000001</v>
      </c>
      <c r="T262" s="1">
        <v>139.30000000000001</v>
      </c>
      <c r="U262" s="1" t="s">
        <v>129</v>
      </c>
      <c r="V262" s="1">
        <v>148.4</v>
      </c>
      <c r="W262" s="1">
        <v>134.4</v>
      </c>
      <c r="X262" s="1">
        <v>154.30000000000001</v>
      </c>
      <c r="Y262" s="1">
        <v>125.1</v>
      </c>
      <c r="Z262" s="1">
        <v>131.69999999999999</v>
      </c>
      <c r="AA262" s="1">
        <v>138.80000000000001</v>
      </c>
      <c r="AB262" s="1">
        <v>131.1</v>
      </c>
      <c r="AC262" s="1">
        <v>132</v>
      </c>
      <c r="AD262" s="1">
        <v>137.30000000000001</v>
      </c>
    </row>
    <row r="263" spans="1:30" x14ac:dyDescent="0.3">
      <c r="A263" s="1" t="s">
        <v>32</v>
      </c>
      <c r="B263" s="1">
        <v>2020</v>
      </c>
      <c r="C263" s="1" t="s">
        <v>38</v>
      </c>
      <c r="D263" s="1">
        <v>151.80000000000001</v>
      </c>
      <c r="E263" s="1">
        <v>153.69999999999999</v>
      </c>
      <c r="F263" s="1">
        <v>151.9</v>
      </c>
      <c r="G263" s="1">
        <v>155.5</v>
      </c>
      <c r="H263" s="1">
        <v>131.6</v>
      </c>
      <c r="I263" s="1">
        <v>152.9</v>
      </c>
      <c r="J263" s="1">
        <v>180</v>
      </c>
      <c r="K263" s="1">
        <v>150.80000000000001</v>
      </c>
      <c r="L263" s="1">
        <v>121.2</v>
      </c>
      <c r="M263" s="1">
        <v>154</v>
      </c>
      <c r="N263" s="1">
        <v>133.5</v>
      </c>
      <c r="O263" s="1">
        <v>146.6</v>
      </c>
      <c r="P263" s="1">
        <v>153.5</v>
      </c>
      <c r="Q263" s="1">
        <v>152.80000000000001</v>
      </c>
      <c r="R263" s="1">
        <v>140.30000000000001</v>
      </c>
      <c r="S263" s="1">
        <v>133.30000000000001</v>
      </c>
      <c r="T263" s="1">
        <v>139.30000000000001</v>
      </c>
      <c r="U263" s="1" t="s">
        <v>129</v>
      </c>
      <c r="V263" s="1">
        <v>137.1</v>
      </c>
      <c r="W263" s="1">
        <v>134.4</v>
      </c>
      <c r="X263" s="1">
        <v>144.80000000000001</v>
      </c>
      <c r="Y263" s="1">
        <v>125.1</v>
      </c>
      <c r="Z263" s="1">
        <v>131.69999999999999</v>
      </c>
      <c r="AA263" s="1">
        <v>138.80000000000001</v>
      </c>
      <c r="AB263" s="1">
        <v>131.1</v>
      </c>
      <c r="AC263" s="1">
        <v>132</v>
      </c>
      <c r="AD263" s="1">
        <v>137.30000000000001</v>
      </c>
    </row>
    <row r="264" spans="1:30" x14ac:dyDescent="0.3">
      <c r="A264" s="1" t="s">
        <v>34</v>
      </c>
      <c r="B264" s="1">
        <v>2020</v>
      </c>
      <c r="C264" s="1" t="s">
        <v>38</v>
      </c>
      <c r="D264" s="1">
        <v>148.69999999999999</v>
      </c>
      <c r="E264" s="1">
        <v>153.69999999999999</v>
      </c>
      <c r="F264" s="1">
        <v>148.80000000000001</v>
      </c>
      <c r="G264" s="1">
        <v>155.6</v>
      </c>
      <c r="H264" s="1">
        <v>135.1</v>
      </c>
      <c r="I264" s="1">
        <v>149.9</v>
      </c>
      <c r="J264" s="1">
        <v>168.6</v>
      </c>
      <c r="K264" s="1">
        <v>150.4</v>
      </c>
      <c r="L264" s="1">
        <v>120.3</v>
      </c>
      <c r="M264" s="1">
        <v>157.1</v>
      </c>
      <c r="N264" s="1">
        <v>136.80000000000001</v>
      </c>
      <c r="O264" s="1">
        <v>146.6</v>
      </c>
      <c r="P264" s="1">
        <v>151.4</v>
      </c>
      <c r="Q264" s="1">
        <v>152.80000000000001</v>
      </c>
      <c r="R264" s="1">
        <v>140.30000000000001</v>
      </c>
      <c r="S264" s="1">
        <v>133.30000000000001</v>
      </c>
      <c r="T264" s="1">
        <v>139.30000000000001</v>
      </c>
      <c r="U264" s="1" t="s">
        <v>129</v>
      </c>
      <c r="V264" s="1">
        <v>144.1</v>
      </c>
      <c r="W264" s="1">
        <v>134.4</v>
      </c>
      <c r="X264" s="1">
        <v>150.69999999999999</v>
      </c>
      <c r="Y264" s="1">
        <v>125.1</v>
      </c>
      <c r="Z264" s="1">
        <v>131.69999999999999</v>
      </c>
      <c r="AA264" s="1">
        <v>138.80000000000001</v>
      </c>
      <c r="AB264" s="1">
        <v>131.1</v>
      </c>
      <c r="AC264" s="1">
        <v>132</v>
      </c>
      <c r="AD264" s="1">
        <v>137.30000000000001</v>
      </c>
    </row>
    <row r="265" spans="1:30" x14ac:dyDescent="0.3">
      <c r="A265" s="1" t="s">
        <v>30</v>
      </c>
      <c r="B265" s="1">
        <v>2020</v>
      </c>
      <c r="C265" s="1" t="s">
        <v>40</v>
      </c>
      <c r="D265" s="1">
        <v>135.5</v>
      </c>
      <c r="E265" s="1">
        <v>153.69999999999999</v>
      </c>
      <c r="F265" s="1">
        <v>139.6</v>
      </c>
      <c r="G265" s="1">
        <v>139.1</v>
      </c>
      <c r="H265" s="1">
        <v>131</v>
      </c>
      <c r="I265" s="1">
        <v>139.69999999999999</v>
      </c>
      <c r="J265" s="1">
        <v>154.4</v>
      </c>
      <c r="K265" s="1">
        <v>140.19999999999999</v>
      </c>
      <c r="L265" s="1">
        <v>110</v>
      </c>
      <c r="M265" s="1">
        <v>143.30000000000001</v>
      </c>
      <c r="N265" s="1">
        <v>133</v>
      </c>
      <c r="O265" s="1">
        <v>146.6</v>
      </c>
      <c r="P265" s="1">
        <v>141.30000000000001</v>
      </c>
      <c r="Q265" s="1">
        <v>152.80000000000001</v>
      </c>
      <c r="R265" s="1">
        <v>140.30000000000001</v>
      </c>
      <c r="S265" s="1">
        <v>133.30000000000001</v>
      </c>
      <c r="T265" s="1">
        <v>139.30000000000001</v>
      </c>
      <c r="U265" s="1" t="s">
        <v>130</v>
      </c>
      <c r="V265" s="1">
        <v>135.4</v>
      </c>
      <c r="W265" s="1">
        <v>134.4</v>
      </c>
      <c r="X265" s="1">
        <v>137.30000000000001</v>
      </c>
      <c r="Y265" s="1">
        <v>125.1</v>
      </c>
      <c r="Z265" s="1">
        <v>131.69999999999999</v>
      </c>
      <c r="AA265" s="1">
        <v>138.80000000000001</v>
      </c>
      <c r="AB265" s="1">
        <v>131.1</v>
      </c>
      <c r="AC265" s="1">
        <v>132</v>
      </c>
      <c r="AD265" s="1">
        <v>137.30000000000001</v>
      </c>
    </row>
    <row r="266" spans="1:30" x14ac:dyDescent="0.3">
      <c r="A266" s="1" t="s">
        <v>32</v>
      </c>
      <c r="B266" s="1">
        <v>2020</v>
      </c>
      <c r="C266" s="1" t="s">
        <v>40</v>
      </c>
      <c r="D266" s="1">
        <v>135.5</v>
      </c>
      <c r="E266" s="1">
        <v>153.69999999999999</v>
      </c>
      <c r="F266" s="1">
        <v>139.6</v>
      </c>
      <c r="G266" s="1">
        <v>139.1</v>
      </c>
      <c r="H266" s="1">
        <v>131</v>
      </c>
      <c r="I266" s="1">
        <v>139.69999999999999</v>
      </c>
      <c r="J266" s="1">
        <v>154.4</v>
      </c>
      <c r="K266" s="1">
        <v>140.19999999999999</v>
      </c>
      <c r="L266" s="1">
        <v>110</v>
      </c>
      <c r="M266" s="1">
        <v>143.30000000000001</v>
      </c>
      <c r="N266" s="1">
        <v>133</v>
      </c>
      <c r="O266" s="1">
        <v>146.6</v>
      </c>
      <c r="P266" s="1">
        <v>141.30000000000001</v>
      </c>
      <c r="Q266" s="1">
        <v>152.80000000000001</v>
      </c>
      <c r="R266" s="1">
        <v>140.30000000000001</v>
      </c>
      <c r="S266" s="1">
        <v>133.30000000000001</v>
      </c>
      <c r="T266" s="1">
        <v>139.30000000000001</v>
      </c>
      <c r="U266" s="1" t="s">
        <v>130</v>
      </c>
      <c r="V266" s="1">
        <v>135.4</v>
      </c>
      <c r="W266" s="1">
        <v>134.4</v>
      </c>
      <c r="X266" s="1">
        <v>137.30000000000001</v>
      </c>
      <c r="Y266" s="1">
        <v>125.1</v>
      </c>
      <c r="Z266" s="1">
        <v>131.69999999999999</v>
      </c>
      <c r="AA266" s="1">
        <v>138.80000000000001</v>
      </c>
      <c r="AB266" s="1">
        <v>131.1</v>
      </c>
      <c r="AC266" s="1">
        <v>132</v>
      </c>
      <c r="AD266" s="1">
        <v>137.30000000000001</v>
      </c>
    </row>
    <row r="267" spans="1:30" x14ac:dyDescent="0.3">
      <c r="A267" s="1" t="s">
        <v>34</v>
      </c>
      <c r="B267" s="1">
        <v>2020</v>
      </c>
      <c r="C267" s="1" t="s">
        <v>40</v>
      </c>
      <c r="D267" s="1">
        <v>135.5</v>
      </c>
      <c r="E267" s="1">
        <v>153.69999999999999</v>
      </c>
      <c r="F267" s="1">
        <v>139.6</v>
      </c>
      <c r="G267" s="1">
        <v>139.1</v>
      </c>
      <c r="H267" s="1">
        <v>131</v>
      </c>
      <c r="I267" s="1">
        <v>139.69999999999999</v>
      </c>
      <c r="J267" s="1">
        <v>154.4</v>
      </c>
      <c r="K267" s="1">
        <v>140.19999999999999</v>
      </c>
      <c r="L267" s="1">
        <v>110</v>
      </c>
      <c r="M267" s="1">
        <v>143.30000000000001</v>
      </c>
      <c r="N267" s="1">
        <v>133</v>
      </c>
      <c r="O267" s="1">
        <v>146.6</v>
      </c>
      <c r="P267" s="1">
        <v>141.30000000000001</v>
      </c>
      <c r="Q267" s="1">
        <v>152.80000000000001</v>
      </c>
      <c r="R267" s="1">
        <v>140.30000000000001</v>
      </c>
      <c r="S267" s="1">
        <v>133.30000000000001</v>
      </c>
      <c r="T267" s="1">
        <v>139.30000000000001</v>
      </c>
      <c r="U267" s="1" t="s">
        <v>130</v>
      </c>
      <c r="V267" s="1">
        <v>135.4</v>
      </c>
      <c r="W267" s="1">
        <v>134.4</v>
      </c>
      <c r="X267" s="1">
        <v>137.30000000000001</v>
      </c>
      <c r="Y267" s="1">
        <v>125.1</v>
      </c>
      <c r="Z267" s="1">
        <v>131.69999999999999</v>
      </c>
      <c r="AA267" s="1">
        <v>138.80000000000001</v>
      </c>
      <c r="AB267" s="1">
        <v>131.1</v>
      </c>
      <c r="AC267" s="1">
        <v>132</v>
      </c>
      <c r="AD267" s="1">
        <v>137.30000000000001</v>
      </c>
    </row>
    <row r="268" spans="1:30" x14ac:dyDescent="0.3">
      <c r="A268" s="1" t="s">
        <v>30</v>
      </c>
      <c r="B268" s="1">
        <v>2020</v>
      </c>
      <c r="C268" s="1" t="s">
        <v>41</v>
      </c>
      <c r="D268" s="1">
        <v>148.19999999999999</v>
      </c>
      <c r="E268" s="1">
        <v>190.3</v>
      </c>
      <c r="F268" s="1">
        <v>149.4</v>
      </c>
      <c r="G268" s="1">
        <v>153.30000000000001</v>
      </c>
      <c r="H268" s="1">
        <v>138.19999999999999</v>
      </c>
      <c r="I268" s="1">
        <v>143.19999999999999</v>
      </c>
      <c r="J268" s="1">
        <v>148.9</v>
      </c>
      <c r="K268" s="1">
        <v>150.30000000000001</v>
      </c>
      <c r="L268" s="1">
        <v>113.2</v>
      </c>
      <c r="M268" s="1">
        <v>159.80000000000001</v>
      </c>
      <c r="N268" s="1">
        <v>142.1</v>
      </c>
      <c r="O268" s="1">
        <v>161.80000000000001</v>
      </c>
      <c r="P268" s="1">
        <v>152.30000000000001</v>
      </c>
      <c r="Q268" s="1">
        <v>182.4</v>
      </c>
      <c r="R268" s="1">
        <v>154.69999999999999</v>
      </c>
      <c r="S268" s="1">
        <v>150</v>
      </c>
      <c r="T268" s="1">
        <v>154.1</v>
      </c>
      <c r="U268" s="1" t="s">
        <v>130</v>
      </c>
      <c r="V268" s="1">
        <v>144.9</v>
      </c>
      <c r="W268" s="1">
        <v>151.69999999999999</v>
      </c>
      <c r="X268" s="1">
        <v>158.19999999999999</v>
      </c>
      <c r="Y268" s="1">
        <v>141.4</v>
      </c>
      <c r="Z268" s="1">
        <v>153.19999999999999</v>
      </c>
      <c r="AA268" s="1">
        <v>161.80000000000001</v>
      </c>
      <c r="AB268" s="1">
        <v>151.19999999999999</v>
      </c>
      <c r="AC268" s="1">
        <v>151.69999999999999</v>
      </c>
      <c r="AD268" s="1">
        <v>152.69999999999999</v>
      </c>
    </row>
    <row r="269" spans="1:30" x14ac:dyDescent="0.3">
      <c r="A269" s="1" t="s">
        <v>32</v>
      </c>
      <c r="B269" s="1">
        <v>2020</v>
      </c>
      <c r="C269" s="1" t="s">
        <v>41</v>
      </c>
      <c r="D269" s="1">
        <v>152.69999999999999</v>
      </c>
      <c r="E269" s="1">
        <v>197</v>
      </c>
      <c r="F269" s="1">
        <v>154.6</v>
      </c>
      <c r="G269" s="1">
        <v>153.4</v>
      </c>
      <c r="H269" s="1">
        <v>132.9</v>
      </c>
      <c r="I269" s="1">
        <v>151.80000000000001</v>
      </c>
      <c r="J269" s="1">
        <v>171.2</v>
      </c>
      <c r="K269" s="1">
        <v>152</v>
      </c>
      <c r="L269" s="1">
        <v>116.3</v>
      </c>
      <c r="M269" s="1">
        <v>158.80000000000001</v>
      </c>
      <c r="N269" s="1">
        <v>135.6</v>
      </c>
      <c r="O269" s="1">
        <v>161.69999999999999</v>
      </c>
      <c r="P269" s="1">
        <v>157</v>
      </c>
      <c r="Q269" s="1">
        <v>186.7</v>
      </c>
      <c r="R269" s="1">
        <v>149.1</v>
      </c>
      <c r="S269" s="1">
        <v>136.6</v>
      </c>
      <c r="T269" s="1">
        <v>147.19999999999999</v>
      </c>
      <c r="U269" s="1" t="s">
        <v>130</v>
      </c>
      <c r="V269" s="1">
        <v>137.1</v>
      </c>
      <c r="W269" s="1">
        <v>140.4</v>
      </c>
      <c r="X269" s="1">
        <v>148.1</v>
      </c>
      <c r="Y269" s="1">
        <v>129.30000000000001</v>
      </c>
      <c r="Z269" s="1">
        <v>144.5</v>
      </c>
      <c r="AA269" s="1">
        <v>152.5</v>
      </c>
      <c r="AB269" s="1">
        <v>152.19999999999999</v>
      </c>
      <c r="AC269" s="1">
        <v>142</v>
      </c>
      <c r="AD269" s="1">
        <v>150.80000000000001</v>
      </c>
    </row>
    <row r="270" spans="1:30" x14ac:dyDescent="0.3">
      <c r="A270" s="1" t="s">
        <v>34</v>
      </c>
      <c r="B270" s="1">
        <v>2020</v>
      </c>
      <c r="C270" s="1" t="s">
        <v>41</v>
      </c>
      <c r="D270" s="1">
        <v>149.6</v>
      </c>
      <c r="E270" s="1">
        <v>192.7</v>
      </c>
      <c r="F270" s="1">
        <v>151.4</v>
      </c>
      <c r="G270" s="1">
        <v>153.30000000000001</v>
      </c>
      <c r="H270" s="1">
        <v>136.30000000000001</v>
      </c>
      <c r="I270" s="1">
        <v>147.19999999999999</v>
      </c>
      <c r="J270" s="1">
        <v>156.5</v>
      </c>
      <c r="K270" s="1">
        <v>150.9</v>
      </c>
      <c r="L270" s="1">
        <v>114.2</v>
      </c>
      <c r="M270" s="1">
        <v>159.5</v>
      </c>
      <c r="N270" s="1">
        <v>139.4</v>
      </c>
      <c r="O270" s="1">
        <v>161.80000000000001</v>
      </c>
      <c r="P270" s="1">
        <v>154</v>
      </c>
      <c r="Q270" s="1">
        <v>183.5</v>
      </c>
      <c r="R270" s="1">
        <v>152.5</v>
      </c>
      <c r="S270" s="1">
        <v>144.4</v>
      </c>
      <c r="T270" s="1">
        <v>151.4</v>
      </c>
      <c r="U270" s="1" t="s">
        <v>130</v>
      </c>
      <c r="V270" s="1">
        <v>141.9</v>
      </c>
      <c r="W270" s="1">
        <v>146.4</v>
      </c>
      <c r="X270" s="1">
        <v>154.4</v>
      </c>
      <c r="Y270" s="1">
        <v>135</v>
      </c>
      <c r="Z270" s="1">
        <v>148.30000000000001</v>
      </c>
      <c r="AA270" s="1">
        <v>156.4</v>
      </c>
      <c r="AB270" s="1">
        <v>151.6</v>
      </c>
      <c r="AC270" s="1">
        <v>147</v>
      </c>
      <c r="AD270" s="1">
        <v>151.80000000000001</v>
      </c>
    </row>
    <row r="271" spans="1:30" x14ac:dyDescent="0.3">
      <c r="A271" s="1" t="s">
        <v>30</v>
      </c>
      <c r="B271" s="1">
        <v>2020</v>
      </c>
      <c r="C271" s="1" t="s">
        <v>43</v>
      </c>
      <c r="D271" s="1">
        <v>148.19999999999999</v>
      </c>
      <c r="E271" s="1">
        <v>190.3</v>
      </c>
      <c r="F271" s="1">
        <v>149.4</v>
      </c>
      <c r="G271" s="1">
        <v>153.30000000000001</v>
      </c>
      <c r="H271" s="1">
        <v>138.19999999999999</v>
      </c>
      <c r="I271" s="1">
        <v>143.19999999999999</v>
      </c>
      <c r="J271" s="1">
        <v>148.9</v>
      </c>
      <c r="K271" s="1">
        <v>150.30000000000001</v>
      </c>
      <c r="L271" s="1">
        <v>113.2</v>
      </c>
      <c r="M271" s="1">
        <v>159.80000000000001</v>
      </c>
      <c r="N271" s="1">
        <v>142.1</v>
      </c>
      <c r="O271" s="1">
        <v>161.80000000000001</v>
      </c>
      <c r="P271" s="1">
        <v>152.30000000000001</v>
      </c>
      <c r="Q271" s="1">
        <v>182.4</v>
      </c>
      <c r="R271" s="1">
        <v>154.69999999999999</v>
      </c>
      <c r="S271" s="1">
        <v>150</v>
      </c>
      <c r="T271" s="1">
        <v>154.1</v>
      </c>
      <c r="U271" s="1" t="s">
        <v>130</v>
      </c>
      <c r="V271" s="1">
        <v>144.9</v>
      </c>
      <c r="W271" s="1">
        <v>151.69999999999999</v>
      </c>
      <c r="X271" s="1">
        <v>158.19999999999999</v>
      </c>
      <c r="Y271" s="1">
        <v>141.4</v>
      </c>
      <c r="Z271" s="1">
        <v>153.19999999999999</v>
      </c>
      <c r="AA271" s="1">
        <v>161.80000000000001</v>
      </c>
      <c r="AB271" s="1">
        <v>151.19999999999999</v>
      </c>
      <c r="AC271" s="1">
        <v>151.69999999999999</v>
      </c>
      <c r="AD271" s="1">
        <v>152.69999999999999</v>
      </c>
    </row>
    <row r="272" spans="1:30" x14ac:dyDescent="0.3">
      <c r="A272" s="1" t="s">
        <v>32</v>
      </c>
      <c r="B272" s="1">
        <v>2020</v>
      </c>
      <c r="C272" s="1" t="s">
        <v>43</v>
      </c>
      <c r="D272" s="1">
        <v>152.69999999999999</v>
      </c>
      <c r="E272" s="1">
        <v>197</v>
      </c>
      <c r="F272" s="1">
        <v>154.6</v>
      </c>
      <c r="G272" s="1">
        <v>153.4</v>
      </c>
      <c r="H272" s="1">
        <v>132.9</v>
      </c>
      <c r="I272" s="1">
        <v>151.80000000000001</v>
      </c>
      <c r="J272" s="1">
        <v>171.2</v>
      </c>
      <c r="K272" s="1">
        <v>152</v>
      </c>
      <c r="L272" s="1">
        <v>116.3</v>
      </c>
      <c r="M272" s="1">
        <v>158.80000000000001</v>
      </c>
      <c r="N272" s="1">
        <v>135.6</v>
      </c>
      <c r="O272" s="1">
        <v>161.69999999999999</v>
      </c>
      <c r="P272" s="1">
        <v>157</v>
      </c>
      <c r="Q272" s="1">
        <v>186.7</v>
      </c>
      <c r="R272" s="1">
        <v>149.1</v>
      </c>
      <c r="S272" s="1">
        <v>136.6</v>
      </c>
      <c r="T272" s="1">
        <v>147.19999999999999</v>
      </c>
      <c r="U272" s="1" t="s">
        <v>130</v>
      </c>
      <c r="V272" s="1">
        <v>137.1</v>
      </c>
      <c r="W272" s="1">
        <v>140.4</v>
      </c>
      <c r="X272" s="1">
        <v>148.1</v>
      </c>
      <c r="Y272" s="1">
        <v>129.30000000000001</v>
      </c>
      <c r="Z272" s="1">
        <v>144.5</v>
      </c>
      <c r="AA272" s="1">
        <v>152.5</v>
      </c>
      <c r="AB272" s="1">
        <v>152.19999999999999</v>
      </c>
      <c r="AC272" s="1">
        <v>142</v>
      </c>
      <c r="AD272" s="1">
        <v>150.80000000000001</v>
      </c>
    </row>
    <row r="273" spans="1:30" x14ac:dyDescent="0.3">
      <c r="A273" s="1" t="s">
        <v>34</v>
      </c>
      <c r="B273" s="1">
        <v>2020</v>
      </c>
      <c r="C273" s="1" t="s">
        <v>43</v>
      </c>
      <c r="D273" s="1">
        <v>149.6</v>
      </c>
      <c r="E273" s="1">
        <v>192.7</v>
      </c>
      <c r="F273" s="1">
        <v>151.4</v>
      </c>
      <c r="G273" s="1">
        <v>153.30000000000001</v>
      </c>
      <c r="H273" s="1">
        <v>136.30000000000001</v>
      </c>
      <c r="I273" s="1">
        <v>147.19999999999999</v>
      </c>
      <c r="J273" s="1">
        <v>156.5</v>
      </c>
      <c r="K273" s="1">
        <v>150.9</v>
      </c>
      <c r="L273" s="1">
        <v>114.2</v>
      </c>
      <c r="M273" s="1">
        <v>159.5</v>
      </c>
      <c r="N273" s="1">
        <v>139.4</v>
      </c>
      <c r="O273" s="1">
        <v>161.80000000000001</v>
      </c>
      <c r="P273" s="1">
        <v>154</v>
      </c>
      <c r="Q273" s="1">
        <v>183.5</v>
      </c>
      <c r="R273" s="1">
        <v>152.5</v>
      </c>
      <c r="S273" s="1">
        <v>144.4</v>
      </c>
      <c r="T273" s="1">
        <v>151.4</v>
      </c>
      <c r="U273" s="1" t="s">
        <v>130</v>
      </c>
      <c r="V273" s="1">
        <v>141.9</v>
      </c>
      <c r="W273" s="1">
        <v>146.4</v>
      </c>
      <c r="X273" s="1">
        <v>154.4</v>
      </c>
      <c r="Y273" s="1">
        <v>135</v>
      </c>
      <c r="Z273" s="1">
        <v>148.30000000000001</v>
      </c>
      <c r="AA273" s="1">
        <v>156.4</v>
      </c>
      <c r="AB273" s="1">
        <v>151.6</v>
      </c>
      <c r="AC273" s="1">
        <v>147</v>
      </c>
      <c r="AD273" s="1">
        <v>151.80000000000001</v>
      </c>
    </row>
    <row r="274" spans="1:30" x14ac:dyDescent="0.3">
      <c r="A274" s="1" t="s">
        <v>30</v>
      </c>
      <c r="B274" s="1">
        <v>2020</v>
      </c>
      <c r="C274" s="1" t="s">
        <v>45</v>
      </c>
      <c r="D274" s="1">
        <v>147.6</v>
      </c>
      <c r="E274" s="1">
        <v>187.2</v>
      </c>
      <c r="F274" s="1">
        <v>148.4</v>
      </c>
      <c r="G274" s="1">
        <v>153.30000000000001</v>
      </c>
      <c r="H274" s="1">
        <v>139.80000000000001</v>
      </c>
      <c r="I274" s="1">
        <v>146.9</v>
      </c>
      <c r="J274" s="1">
        <v>171</v>
      </c>
      <c r="K274" s="1">
        <v>149.9</v>
      </c>
      <c r="L274" s="1">
        <v>114.2</v>
      </c>
      <c r="M274" s="1">
        <v>160</v>
      </c>
      <c r="N274" s="1">
        <v>143.5</v>
      </c>
      <c r="O274" s="1">
        <v>161.5</v>
      </c>
      <c r="P274" s="1">
        <v>155.30000000000001</v>
      </c>
      <c r="Q274" s="1">
        <v>180.9</v>
      </c>
      <c r="R274" s="1">
        <v>155.1</v>
      </c>
      <c r="S274" s="1">
        <v>149.30000000000001</v>
      </c>
      <c r="T274" s="1">
        <v>154.30000000000001</v>
      </c>
      <c r="U274" s="1" t="s">
        <v>131</v>
      </c>
      <c r="V274" s="1">
        <v>145.80000000000001</v>
      </c>
      <c r="W274" s="1">
        <v>151.9</v>
      </c>
      <c r="X274" s="1">
        <v>158.80000000000001</v>
      </c>
      <c r="Y274" s="1">
        <v>143.6</v>
      </c>
      <c r="Z274" s="1">
        <v>152.19999999999999</v>
      </c>
      <c r="AA274" s="1">
        <v>162.69999999999999</v>
      </c>
      <c r="AB274" s="1">
        <v>153.6</v>
      </c>
      <c r="AC274" s="1">
        <v>153</v>
      </c>
      <c r="AD274" s="1">
        <v>154.69999999999999</v>
      </c>
    </row>
    <row r="275" spans="1:30" x14ac:dyDescent="0.3">
      <c r="A275" s="1" t="s">
        <v>32</v>
      </c>
      <c r="B275" s="1">
        <v>2020</v>
      </c>
      <c r="C275" s="1" t="s">
        <v>45</v>
      </c>
      <c r="D275" s="1">
        <v>151.6</v>
      </c>
      <c r="E275" s="1">
        <v>197.8</v>
      </c>
      <c r="F275" s="1">
        <v>154.5</v>
      </c>
      <c r="G275" s="1">
        <v>153.4</v>
      </c>
      <c r="H275" s="1">
        <v>133.4</v>
      </c>
      <c r="I275" s="1">
        <v>154.5</v>
      </c>
      <c r="J275" s="1">
        <v>191.9</v>
      </c>
      <c r="K275" s="1">
        <v>151.30000000000001</v>
      </c>
      <c r="L275" s="1">
        <v>116.8</v>
      </c>
      <c r="M275" s="1">
        <v>160</v>
      </c>
      <c r="N275" s="1">
        <v>136.5</v>
      </c>
      <c r="O275" s="1">
        <v>163.30000000000001</v>
      </c>
      <c r="P275" s="1">
        <v>159.9</v>
      </c>
      <c r="Q275" s="1">
        <v>187.2</v>
      </c>
      <c r="R275" s="1">
        <v>150</v>
      </c>
      <c r="S275" s="1">
        <v>135.19999999999999</v>
      </c>
      <c r="T275" s="1">
        <v>147.80000000000001</v>
      </c>
      <c r="U275" s="1" t="s">
        <v>131</v>
      </c>
      <c r="V275" s="1">
        <v>138.30000000000001</v>
      </c>
      <c r="W275" s="1">
        <v>144.5</v>
      </c>
      <c r="X275" s="1">
        <v>148.69999999999999</v>
      </c>
      <c r="Y275" s="1">
        <v>133.9</v>
      </c>
      <c r="Z275" s="1">
        <v>141.19999999999999</v>
      </c>
      <c r="AA275" s="1">
        <v>155.5</v>
      </c>
      <c r="AB275" s="1">
        <v>155.19999999999999</v>
      </c>
      <c r="AC275" s="1">
        <v>144.80000000000001</v>
      </c>
      <c r="AD275" s="1">
        <v>152.9</v>
      </c>
    </row>
    <row r="276" spans="1:30" x14ac:dyDescent="0.3">
      <c r="A276" s="1" t="s">
        <v>34</v>
      </c>
      <c r="B276" s="1">
        <v>2020</v>
      </c>
      <c r="C276" s="1" t="s">
        <v>45</v>
      </c>
      <c r="D276" s="1">
        <v>148.9</v>
      </c>
      <c r="E276" s="1">
        <v>190.9</v>
      </c>
      <c r="F276" s="1">
        <v>150.80000000000001</v>
      </c>
      <c r="G276" s="1">
        <v>153.30000000000001</v>
      </c>
      <c r="H276" s="1">
        <v>137.4</v>
      </c>
      <c r="I276" s="1">
        <v>150.4</v>
      </c>
      <c r="J276" s="1">
        <v>178.1</v>
      </c>
      <c r="K276" s="1">
        <v>150.4</v>
      </c>
      <c r="L276" s="1">
        <v>115.1</v>
      </c>
      <c r="M276" s="1">
        <v>160</v>
      </c>
      <c r="N276" s="1">
        <v>140.6</v>
      </c>
      <c r="O276" s="1">
        <v>162.30000000000001</v>
      </c>
      <c r="P276" s="1">
        <v>157</v>
      </c>
      <c r="Q276" s="1">
        <v>182.6</v>
      </c>
      <c r="R276" s="1">
        <v>153.1</v>
      </c>
      <c r="S276" s="1">
        <v>143.4</v>
      </c>
      <c r="T276" s="1">
        <v>151.69999999999999</v>
      </c>
      <c r="U276" s="1" t="s">
        <v>131</v>
      </c>
      <c r="V276" s="1">
        <v>143</v>
      </c>
      <c r="W276" s="1">
        <v>148.4</v>
      </c>
      <c r="X276" s="1">
        <v>155</v>
      </c>
      <c r="Y276" s="1">
        <v>138.5</v>
      </c>
      <c r="Z276" s="1">
        <v>146</v>
      </c>
      <c r="AA276" s="1">
        <v>158.5</v>
      </c>
      <c r="AB276" s="1">
        <v>154.30000000000001</v>
      </c>
      <c r="AC276" s="1">
        <v>149</v>
      </c>
      <c r="AD276" s="1">
        <v>153.9</v>
      </c>
    </row>
    <row r="277" spans="1:30" x14ac:dyDescent="0.3">
      <c r="A277" s="1" t="s">
        <v>30</v>
      </c>
      <c r="B277" s="1">
        <v>2020</v>
      </c>
      <c r="C277" s="1" t="s">
        <v>47</v>
      </c>
      <c r="D277" s="1">
        <v>146.9</v>
      </c>
      <c r="E277" s="1">
        <v>183.9</v>
      </c>
      <c r="F277" s="1">
        <v>149.5</v>
      </c>
      <c r="G277" s="1">
        <v>153.4</v>
      </c>
      <c r="H277" s="1">
        <v>140.4</v>
      </c>
      <c r="I277" s="1">
        <v>147</v>
      </c>
      <c r="J277" s="1">
        <v>178.8</v>
      </c>
      <c r="K277" s="1">
        <v>149.30000000000001</v>
      </c>
      <c r="L277" s="1">
        <v>115.1</v>
      </c>
      <c r="M277" s="1">
        <v>160</v>
      </c>
      <c r="N277" s="1">
        <v>145.4</v>
      </c>
      <c r="O277" s="1">
        <v>161.6</v>
      </c>
      <c r="P277" s="1">
        <v>156.1</v>
      </c>
      <c r="Q277" s="1">
        <v>182.9</v>
      </c>
      <c r="R277" s="1">
        <v>155.4</v>
      </c>
      <c r="S277" s="1">
        <v>149.9</v>
      </c>
      <c r="T277" s="1">
        <v>154.6</v>
      </c>
      <c r="U277" s="1" t="s">
        <v>132</v>
      </c>
      <c r="V277" s="1">
        <v>146.4</v>
      </c>
      <c r="W277" s="1">
        <v>151.6</v>
      </c>
      <c r="X277" s="1">
        <v>159.1</v>
      </c>
      <c r="Y277" s="1">
        <v>144.6</v>
      </c>
      <c r="Z277" s="1">
        <v>152.80000000000001</v>
      </c>
      <c r="AA277" s="1">
        <v>161.1</v>
      </c>
      <c r="AB277" s="1">
        <v>157.4</v>
      </c>
      <c r="AC277" s="1">
        <v>153.69999999999999</v>
      </c>
      <c r="AD277" s="1">
        <v>155.4</v>
      </c>
    </row>
    <row r="278" spans="1:30" x14ac:dyDescent="0.3">
      <c r="A278" s="1" t="s">
        <v>32</v>
      </c>
      <c r="B278" s="1">
        <v>2020</v>
      </c>
      <c r="C278" s="1" t="s">
        <v>47</v>
      </c>
      <c r="D278" s="1">
        <v>151.5</v>
      </c>
      <c r="E278" s="1">
        <v>193.1</v>
      </c>
      <c r="F278" s="1">
        <v>157.30000000000001</v>
      </c>
      <c r="G278" s="1">
        <v>153.9</v>
      </c>
      <c r="H278" s="1">
        <v>134.4</v>
      </c>
      <c r="I278" s="1">
        <v>155.4</v>
      </c>
      <c r="J278" s="1">
        <v>202</v>
      </c>
      <c r="K278" s="1">
        <v>150.80000000000001</v>
      </c>
      <c r="L278" s="1">
        <v>118.9</v>
      </c>
      <c r="M278" s="1">
        <v>160.9</v>
      </c>
      <c r="N278" s="1">
        <v>137.69999999999999</v>
      </c>
      <c r="O278" s="1">
        <v>164.4</v>
      </c>
      <c r="P278" s="1">
        <v>161.30000000000001</v>
      </c>
      <c r="Q278" s="1">
        <v>188.7</v>
      </c>
      <c r="R278" s="1">
        <v>150.19999999999999</v>
      </c>
      <c r="S278" s="1">
        <v>136.30000000000001</v>
      </c>
      <c r="T278" s="1">
        <v>148.1</v>
      </c>
      <c r="U278" s="1" t="s">
        <v>132</v>
      </c>
      <c r="V278" s="1">
        <v>137.19999999999999</v>
      </c>
      <c r="W278" s="1">
        <v>145.4</v>
      </c>
      <c r="X278" s="1">
        <v>150</v>
      </c>
      <c r="Y278" s="1">
        <v>135.1</v>
      </c>
      <c r="Z278" s="1">
        <v>141.80000000000001</v>
      </c>
      <c r="AA278" s="1">
        <v>154.9</v>
      </c>
      <c r="AB278" s="1">
        <v>159.80000000000001</v>
      </c>
      <c r="AC278" s="1">
        <v>146</v>
      </c>
      <c r="AD278" s="1">
        <v>154</v>
      </c>
    </row>
    <row r="279" spans="1:30" x14ac:dyDescent="0.3">
      <c r="A279" s="1" t="s">
        <v>34</v>
      </c>
      <c r="B279" s="1">
        <v>2020</v>
      </c>
      <c r="C279" s="1" t="s">
        <v>47</v>
      </c>
      <c r="D279" s="1">
        <v>148.4</v>
      </c>
      <c r="E279" s="1">
        <v>187.1</v>
      </c>
      <c r="F279" s="1">
        <v>152.5</v>
      </c>
      <c r="G279" s="1">
        <v>153.6</v>
      </c>
      <c r="H279" s="1">
        <v>138.19999999999999</v>
      </c>
      <c r="I279" s="1">
        <v>150.9</v>
      </c>
      <c r="J279" s="1">
        <v>186.7</v>
      </c>
      <c r="K279" s="1">
        <v>149.80000000000001</v>
      </c>
      <c r="L279" s="1">
        <v>116.4</v>
      </c>
      <c r="M279" s="1">
        <v>160.30000000000001</v>
      </c>
      <c r="N279" s="1">
        <v>142.19999999999999</v>
      </c>
      <c r="O279" s="1">
        <v>162.9</v>
      </c>
      <c r="P279" s="1">
        <v>158</v>
      </c>
      <c r="Q279" s="1">
        <v>184.4</v>
      </c>
      <c r="R279" s="1">
        <v>153.4</v>
      </c>
      <c r="S279" s="1">
        <v>144.30000000000001</v>
      </c>
      <c r="T279" s="1">
        <v>152</v>
      </c>
      <c r="U279" s="1" t="s">
        <v>132</v>
      </c>
      <c r="V279" s="1">
        <v>142.9</v>
      </c>
      <c r="W279" s="1">
        <v>148.69999999999999</v>
      </c>
      <c r="X279" s="1">
        <v>155.6</v>
      </c>
      <c r="Y279" s="1">
        <v>139.6</v>
      </c>
      <c r="Z279" s="1">
        <v>146.6</v>
      </c>
      <c r="AA279" s="1">
        <v>157.5</v>
      </c>
      <c r="AB279" s="1">
        <v>158.4</v>
      </c>
      <c r="AC279" s="1">
        <v>150</v>
      </c>
      <c r="AD279" s="1">
        <v>154.69999999999999</v>
      </c>
    </row>
    <row r="280" spans="1:30" x14ac:dyDescent="0.3">
      <c r="A280" s="1" t="s">
        <v>30</v>
      </c>
      <c r="B280" s="1">
        <v>2020</v>
      </c>
      <c r="C280" s="1" t="s">
        <v>49</v>
      </c>
      <c r="D280" s="1">
        <v>146</v>
      </c>
      <c r="E280" s="1">
        <v>186.3</v>
      </c>
      <c r="F280" s="1">
        <v>159.19999999999999</v>
      </c>
      <c r="G280" s="1">
        <v>153.6</v>
      </c>
      <c r="H280" s="1">
        <v>142.6</v>
      </c>
      <c r="I280" s="1">
        <v>147.19999999999999</v>
      </c>
      <c r="J280" s="1">
        <v>200.6</v>
      </c>
      <c r="K280" s="1">
        <v>150.30000000000001</v>
      </c>
      <c r="L280" s="1">
        <v>115.3</v>
      </c>
      <c r="M280" s="1">
        <v>160.9</v>
      </c>
      <c r="N280" s="1">
        <v>147.4</v>
      </c>
      <c r="O280" s="1">
        <v>161.9</v>
      </c>
      <c r="P280" s="1">
        <v>159.6</v>
      </c>
      <c r="Q280" s="1">
        <v>182.7</v>
      </c>
      <c r="R280" s="1">
        <v>155.69999999999999</v>
      </c>
      <c r="S280" s="1">
        <v>150.6</v>
      </c>
      <c r="T280" s="1">
        <v>155</v>
      </c>
      <c r="U280" s="1" t="s">
        <v>133</v>
      </c>
      <c r="V280" s="1">
        <v>146.80000000000001</v>
      </c>
      <c r="W280" s="1">
        <v>152</v>
      </c>
      <c r="X280" s="1">
        <v>159.5</v>
      </c>
      <c r="Y280" s="1">
        <v>146.4</v>
      </c>
      <c r="Z280" s="1">
        <v>152.4</v>
      </c>
      <c r="AA280" s="1">
        <v>162.5</v>
      </c>
      <c r="AB280" s="1">
        <v>156.19999999999999</v>
      </c>
      <c r="AC280" s="1">
        <v>154.30000000000001</v>
      </c>
      <c r="AD280" s="1">
        <v>157.5</v>
      </c>
    </row>
    <row r="281" spans="1:30" x14ac:dyDescent="0.3">
      <c r="A281" s="1" t="s">
        <v>32</v>
      </c>
      <c r="B281" s="1">
        <v>2020</v>
      </c>
      <c r="C281" s="1" t="s">
        <v>49</v>
      </c>
      <c r="D281" s="1">
        <v>150.6</v>
      </c>
      <c r="E281" s="1">
        <v>193.7</v>
      </c>
      <c r="F281" s="1">
        <v>164.8</v>
      </c>
      <c r="G281" s="1">
        <v>153.69999999999999</v>
      </c>
      <c r="H281" s="1">
        <v>135.69999999999999</v>
      </c>
      <c r="I281" s="1">
        <v>155.69999999999999</v>
      </c>
      <c r="J281" s="1">
        <v>226</v>
      </c>
      <c r="K281" s="1">
        <v>152.19999999999999</v>
      </c>
      <c r="L281" s="1">
        <v>118.1</v>
      </c>
      <c r="M281" s="1">
        <v>161.30000000000001</v>
      </c>
      <c r="N281" s="1">
        <v>139.19999999999999</v>
      </c>
      <c r="O281" s="1">
        <v>164.8</v>
      </c>
      <c r="P281" s="1">
        <v>164.4</v>
      </c>
      <c r="Q281" s="1">
        <v>188.7</v>
      </c>
      <c r="R281" s="1">
        <v>150.5</v>
      </c>
      <c r="S281" s="1">
        <v>136.1</v>
      </c>
      <c r="T281" s="1">
        <v>148.30000000000001</v>
      </c>
      <c r="U281" s="1" t="s">
        <v>133</v>
      </c>
      <c r="V281" s="1">
        <v>137.1</v>
      </c>
      <c r="W281" s="1">
        <v>145.1</v>
      </c>
      <c r="X281" s="1">
        <v>151</v>
      </c>
      <c r="Y281" s="1">
        <v>135.4</v>
      </c>
      <c r="Z281" s="1">
        <v>142</v>
      </c>
      <c r="AA281" s="1">
        <v>155.69999999999999</v>
      </c>
      <c r="AB281" s="1">
        <v>158.1</v>
      </c>
      <c r="AC281" s="1">
        <v>146.19999999999999</v>
      </c>
      <c r="AD281" s="1">
        <v>155.19999999999999</v>
      </c>
    </row>
    <row r="282" spans="1:30" x14ac:dyDescent="0.3">
      <c r="A282" s="1" t="s">
        <v>34</v>
      </c>
      <c r="B282" s="1">
        <v>2020</v>
      </c>
      <c r="C282" s="1" t="s">
        <v>49</v>
      </c>
      <c r="D282" s="1">
        <v>147.5</v>
      </c>
      <c r="E282" s="1">
        <v>188.9</v>
      </c>
      <c r="F282" s="1">
        <v>161.4</v>
      </c>
      <c r="G282" s="1">
        <v>153.6</v>
      </c>
      <c r="H282" s="1">
        <v>140.1</v>
      </c>
      <c r="I282" s="1">
        <v>151.19999999999999</v>
      </c>
      <c r="J282" s="1">
        <v>209.2</v>
      </c>
      <c r="K282" s="1">
        <v>150.9</v>
      </c>
      <c r="L282" s="1">
        <v>116.2</v>
      </c>
      <c r="M282" s="1">
        <v>161</v>
      </c>
      <c r="N282" s="1">
        <v>144</v>
      </c>
      <c r="O282" s="1">
        <v>163.19999999999999</v>
      </c>
      <c r="P282" s="1">
        <v>161.4</v>
      </c>
      <c r="Q282" s="1">
        <v>184.3</v>
      </c>
      <c r="R282" s="1">
        <v>153.69999999999999</v>
      </c>
      <c r="S282" s="1">
        <v>144.6</v>
      </c>
      <c r="T282" s="1">
        <v>152.30000000000001</v>
      </c>
      <c r="U282" s="1" t="s">
        <v>133</v>
      </c>
      <c r="V282" s="1">
        <v>143.1</v>
      </c>
      <c r="W282" s="1">
        <v>148.69999999999999</v>
      </c>
      <c r="X282" s="1">
        <v>156.30000000000001</v>
      </c>
      <c r="Y282" s="1">
        <v>140.6</v>
      </c>
      <c r="Z282" s="1">
        <v>146.5</v>
      </c>
      <c r="AA282" s="1">
        <v>158.5</v>
      </c>
      <c r="AB282" s="1">
        <v>157</v>
      </c>
      <c r="AC282" s="1">
        <v>150.4</v>
      </c>
      <c r="AD282" s="1">
        <v>156.4</v>
      </c>
    </row>
    <row r="283" spans="1:30" x14ac:dyDescent="0.3">
      <c r="A283" s="1" t="s">
        <v>30</v>
      </c>
      <c r="B283" s="1">
        <v>2020</v>
      </c>
      <c r="C283" s="1" t="s">
        <v>52</v>
      </c>
      <c r="D283" s="1">
        <v>145.4</v>
      </c>
      <c r="E283" s="1">
        <v>188.6</v>
      </c>
      <c r="F283" s="1">
        <v>171.6</v>
      </c>
      <c r="G283" s="1">
        <v>153.80000000000001</v>
      </c>
      <c r="H283" s="1">
        <v>145.4</v>
      </c>
      <c r="I283" s="1">
        <v>146.5</v>
      </c>
      <c r="J283" s="1">
        <v>222.2</v>
      </c>
      <c r="K283" s="1">
        <v>155.9</v>
      </c>
      <c r="L283" s="1">
        <v>114.9</v>
      </c>
      <c r="M283" s="1">
        <v>162</v>
      </c>
      <c r="N283" s="1">
        <v>150</v>
      </c>
      <c r="O283" s="1">
        <v>162.69999999999999</v>
      </c>
      <c r="P283" s="1">
        <v>163.4</v>
      </c>
      <c r="Q283" s="1">
        <v>183.4</v>
      </c>
      <c r="R283" s="1">
        <v>156.30000000000001</v>
      </c>
      <c r="S283" s="1">
        <v>151</v>
      </c>
      <c r="T283" s="1">
        <v>155.5</v>
      </c>
      <c r="U283" s="1" t="s">
        <v>134</v>
      </c>
      <c r="V283" s="1">
        <v>147.5</v>
      </c>
      <c r="W283" s="1">
        <v>152.80000000000001</v>
      </c>
      <c r="X283" s="1">
        <v>160.4</v>
      </c>
      <c r="Y283" s="1">
        <v>146.1</v>
      </c>
      <c r="Z283" s="1">
        <v>153.6</v>
      </c>
      <c r="AA283" s="1">
        <v>161.6</v>
      </c>
      <c r="AB283" s="1">
        <v>156.19999999999999</v>
      </c>
      <c r="AC283" s="1">
        <v>154.5</v>
      </c>
      <c r="AD283" s="1">
        <v>159.80000000000001</v>
      </c>
    </row>
    <row r="284" spans="1:30" x14ac:dyDescent="0.3">
      <c r="A284" s="1" t="s">
        <v>32</v>
      </c>
      <c r="B284" s="1">
        <v>2020</v>
      </c>
      <c r="C284" s="1" t="s">
        <v>52</v>
      </c>
      <c r="D284" s="1">
        <v>149.69999999999999</v>
      </c>
      <c r="E284" s="1">
        <v>195.5</v>
      </c>
      <c r="F284" s="1">
        <v>176.9</v>
      </c>
      <c r="G284" s="1">
        <v>153.9</v>
      </c>
      <c r="H284" s="1">
        <v>138</v>
      </c>
      <c r="I284" s="1">
        <v>150.5</v>
      </c>
      <c r="J284" s="1">
        <v>245.3</v>
      </c>
      <c r="K284" s="1">
        <v>158.69999999999999</v>
      </c>
      <c r="L284" s="1">
        <v>117.2</v>
      </c>
      <c r="M284" s="1">
        <v>161.4</v>
      </c>
      <c r="N284" s="1">
        <v>141.5</v>
      </c>
      <c r="O284" s="1">
        <v>165.1</v>
      </c>
      <c r="P284" s="1">
        <v>167</v>
      </c>
      <c r="Q284" s="1">
        <v>188.8</v>
      </c>
      <c r="R284" s="1">
        <v>151.1</v>
      </c>
      <c r="S284" s="1">
        <v>136.4</v>
      </c>
      <c r="T284" s="1">
        <v>148.80000000000001</v>
      </c>
      <c r="U284" s="1" t="s">
        <v>134</v>
      </c>
      <c r="V284" s="1">
        <v>137.30000000000001</v>
      </c>
      <c r="W284" s="1">
        <v>145.1</v>
      </c>
      <c r="X284" s="1">
        <v>152</v>
      </c>
      <c r="Y284" s="1">
        <v>135.19999999999999</v>
      </c>
      <c r="Z284" s="1">
        <v>144.4</v>
      </c>
      <c r="AA284" s="1">
        <v>156.4</v>
      </c>
      <c r="AB284" s="1">
        <v>157.9</v>
      </c>
      <c r="AC284" s="1">
        <v>146.6</v>
      </c>
      <c r="AD284" s="1">
        <v>156.69999999999999</v>
      </c>
    </row>
    <row r="285" spans="1:30" x14ac:dyDescent="0.3">
      <c r="A285" s="1" t="s">
        <v>34</v>
      </c>
      <c r="B285" s="1">
        <v>2020</v>
      </c>
      <c r="C285" s="1" t="s">
        <v>52</v>
      </c>
      <c r="D285" s="1">
        <v>146.80000000000001</v>
      </c>
      <c r="E285" s="1">
        <v>191</v>
      </c>
      <c r="F285" s="1">
        <v>173.6</v>
      </c>
      <c r="G285" s="1">
        <v>153.80000000000001</v>
      </c>
      <c r="H285" s="1">
        <v>142.69999999999999</v>
      </c>
      <c r="I285" s="1">
        <v>148.4</v>
      </c>
      <c r="J285" s="1">
        <v>230</v>
      </c>
      <c r="K285" s="1">
        <v>156.80000000000001</v>
      </c>
      <c r="L285" s="1">
        <v>115.7</v>
      </c>
      <c r="M285" s="1">
        <v>161.80000000000001</v>
      </c>
      <c r="N285" s="1">
        <v>146.5</v>
      </c>
      <c r="O285" s="1">
        <v>163.80000000000001</v>
      </c>
      <c r="P285" s="1">
        <v>164.7</v>
      </c>
      <c r="Q285" s="1">
        <v>184.8</v>
      </c>
      <c r="R285" s="1">
        <v>154.30000000000001</v>
      </c>
      <c r="S285" s="1">
        <v>144.9</v>
      </c>
      <c r="T285" s="1">
        <v>152.80000000000001</v>
      </c>
      <c r="U285" s="1" t="s">
        <v>134</v>
      </c>
      <c r="V285" s="1">
        <v>143.6</v>
      </c>
      <c r="W285" s="1">
        <v>149.19999999999999</v>
      </c>
      <c r="X285" s="1">
        <v>157.19999999999999</v>
      </c>
      <c r="Y285" s="1">
        <v>140.4</v>
      </c>
      <c r="Z285" s="1">
        <v>148.4</v>
      </c>
      <c r="AA285" s="1">
        <v>158.6</v>
      </c>
      <c r="AB285" s="1">
        <v>156.9</v>
      </c>
      <c r="AC285" s="1">
        <v>150.69999999999999</v>
      </c>
      <c r="AD285" s="1">
        <v>158.4</v>
      </c>
    </row>
    <row r="286" spans="1:30" x14ac:dyDescent="0.3">
      <c r="A286" s="1" t="s">
        <v>30</v>
      </c>
      <c r="B286" s="1">
        <v>2020</v>
      </c>
      <c r="C286" s="1" t="s">
        <v>54</v>
      </c>
      <c r="D286" s="1">
        <v>144.6</v>
      </c>
      <c r="E286" s="1">
        <v>188.5</v>
      </c>
      <c r="F286" s="1">
        <v>173.4</v>
      </c>
      <c r="G286" s="1">
        <v>154</v>
      </c>
      <c r="H286" s="1">
        <v>150</v>
      </c>
      <c r="I286" s="1">
        <v>145.9</v>
      </c>
      <c r="J286" s="1">
        <v>225.2</v>
      </c>
      <c r="K286" s="1">
        <v>159.5</v>
      </c>
      <c r="L286" s="1">
        <v>114.4</v>
      </c>
      <c r="M286" s="1">
        <v>163.5</v>
      </c>
      <c r="N286" s="1">
        <v>153.4</v>
      </c>
      <c r="O286" s="1">
        <v>163.6</v>
      </c>
      <c r="P286" s="1">
        <v>164.5</v>
      </c>
      <c r="Q286" s="1">
        <v>183.6</v>
      </c>
      <c r="R286" s="1">
        <v>157</v>
      </c>
      <c r="S286" s="1">
        <v>151.6</v>
      </c>
      <c r="T286" s="1">
        <v>156.30000000000001</v>
      </c>
      <c r="U286" s="1" t="s">
        <v>135</v>
      </c>
      <c r="V286" s="1">
        <v>148.69999999999999</v>
      </c>
      <c r="W286" s="1">
        <v>153.4</v>
      </c>
      <c r="X286" s="1">
        <v>161.6</v>
      </c>
      <c r="Y286" s="1">
        <v>146.4</v>
      </c>
      <c r="Z286" s="1">
        <v>153.9</v>
      </c>
      <c r="AA286" s="1">
        <v>162.9</v>
      </c>
      <c r="AB286" s="1">
        <v>156.6</v>
      </c>
      <c r="AC286" s="1">
        <v>155.19999999999999</v>
      </c>
      <c r="AD286" s="1">
        <v>160.69999999999999</v>
      </c>
    </row>
    <row r="287" spans="1:30" x14ac:dyDescent="0.3">
      <c r="A287" s="1" t="s">
        <v>32</v>
      </c>
      <c r="B287" s="1">
        <v>2020</v>
      </c>
      <c r="C287" s="1" t="s">
        <v>54</v>
      </c>
      <c r="D287" s="1">
        <v>149</v>
      </c>
      <c r="E287" s="1">
        <v>195.7</v>
      </c>
      <c r="F287" s="1">
        <v>178.3</v>
      </c>
      <c r="G287" s="1">
        <v>154.19999999999999</v>
      </c>
      <c r="H287" s="1">
        <v>140.69999999999999</v>
      </c>
      <c r="I287" s="1">
        <v>149.69999999999999</v>
      </c>
      <c r="J287" s="1">
        <v>240.9</v>
      </c>
      <c r="K287" s="1">
        <v>161.5</v>
      </c>
      <c r="L287" s="1">
        <v>117.1</v>
      </c>
      <c r="M287" s="1">
        <v>161.9</v>
      </c>
      <c r="N287" s="1">
        <v>143.30000000000001</v>
      </c>
      <c r="O287" s="1">
        <v>166.1</v>
      </c>
      <c r="P287" s="1">
        <v>167</v>
      </c>
      <c r="Q287" s="1">
        <v>190.2</v>
      </c>
      <c r="R287" s="1">
        <v>151.9</v>
      </c>
      <c r="S287" s="1">
        <v>136.69999999999999</v>
      </c>
      <c r="T287" s="1">
        <v>149.6</v>
      </c>
      <c r="U287" s="1" t="s">
        <v>135</v>
      </c>
      <c r="V287" s="1">
        <v>137.9</v>
      </c>
      <c r="W287" s="1">
        <v>145.5</v>
      </c>
      <c r="X287" s="1">
        <v>152.9</v>
      </c>
      <c r="Y287" s="1">
        <v>135.5</v>
      </c>
      <c r="Z287" s="1">
        <v>144.30000000000001</v>
      </c>
      <c r="AA287" s="1">
        <v>156.9</v>
      </c>
      <c r="AB287" s="1">
        <v>157.9</v>
      </c>
      <c r="AC287" s="1">
        <v>146.9</v>
      </c>
      <c r="AD287" s="1">
        <v>156.9</v>
      </c>
    </row>
    <row r="288" spans="1:30" x14ac:dyDescent="0.3">
      <c r="A288" s="1" t="s">
        <v>34</v>
      </c>
      <c r="B288" s="1">
        <v>2020</v>
      </c>
      <c r="C288" s="1" t="s">
        <v>54</v>
      </c>
      <c r="D288" s="1">
        <v>146</v>
      </c>
      <c r="E288" s="1">
        <v>191</v>
      </c>
      <c r="F288" s="1">
        <v>175.3</v>
      </c>
      <c r="G288" s="1">
        <v>154.1</v>
      </c>
      <c r="H288" s="1">
        <v>146.6</v>
      </c>
      <c r="I288" s="1">
        <v>147.69999999999999</v>
      </c>
      <c r="J288" s="1">
        <v>230.5</v>
      </c>
      <c r="K288" s="1">
        <v>160.19999999999999</v>
      </c>
      <c r="L288" s="1">
        <v>115.3</v>
      </c>
      <c r="M288" s="1">
        <v>163</v>
      </c>
      <c r="N288" s="1">
        <v>149.19999999999999</v>
      </c>
      <c r="O288" s="1">
        <v>164.8</v>
      </c>
      <c r="P288" s="1">
        <v>165.4</v>
      </c>
      <c r="Q288" s="1">
        <v>185.4</v>
      </c>
      <c r="R288" s="1">
        <v>155</v>
      </c>
      <c r="S288" s="1">
        <v>145.4</v>
      </c>
      <c r="T288" s="1">
        <v>153.6</v>
      </c>
      <c r="U288" s="1" t="s">
        <v>135</v>
      </c>
      <c r="V288" s="1">
        <v>144.6</v>
      </c>
      <c r="W288" s="1">
        <v>149.69999999999999</v>
      </c>
      <c r="X288" s="1">
        <v>158.30000000000001</v>
      </c>
      <c r="Y288" s="1">
        <v>140.69999999999999</v>
      </c>
      <c r="Z288" s="1">
        <v>148.5</v>
      </c>
      <c r="AA288" s="1">
        <v>159.4</v>
      </c>
      <c r="AB288" s="1">
        <v>157.1</v>
      </c>
      <c r="AC288" s="1">
        <v>151.19999999999999</v>
      </c>
      <c r="AD288" s="1">
        <v>158.9</v>
      </c>
    </row>
    <row r="289" spans="1:30" x14ac:dyDescent="0.3">
      <c r="A289" s="1" t="s">
        <v>30</v>
      </c>
      <c r="B289" s="1">
        <v>2021</v>
      </c>
      <c r="C289" s="1" t="s">
        <v>31</v>
      </c>
      <c r="D289" s="1">
        <v>143.4</v>
      </c>
      <c r="E289" s="1">
        <v>187.5</v>
      </c>
      <c r="F289" s="1">
        <v>173.4</v>
      </c>
      <c r="G289" s="1">
        <v>154</v>
      </c>
      <c r="H289" s="1">
        <v>154.80000000000001</v>
      </c>
      <c r="I289" s="1">
        <v>147</v>
      </c>
      <c r="J289" s="1">
        <v>187.8</v>
      </c>
      <c r="K289" s="1">
        <v>159.5</v>
      </c>
      <c r="L289" s="1">
        <v>113.8</v>
      </c>
      <c r="M289" s="1">
        <v>164.5</v>
      </c>
      <c r="N289" s="1">
        <v>156.1</v>
      </c>
      <c r="O289" s="1">
        <v>164.3</v>
      </c>
      <c r="P289" s="1">
        <v>159.6</v>
      </c>
      <c r="Q289" s="1">
        <v>184.6</v>
      </c>
      <c r="R289" s="1">
        <v>157.5</v>
      </c>
      <c r="S289" s="1">
        <v>152.4</v>
      </c>
      <c r="T289" s="1">
        <v>156.80000000000001</v>
      </c>
      <c r="U289" s="1" t="s">
        <v>136</v>
      </c>
      <c r="V289" s="1">
        <v>150.9</v>
      </c>
      <c r="W289" s="1">
        <v>153.9</v>
      </c>
      <c r="X289" s="1">
        <v>162.5</v>
      </c>
      <c r="Y289" s="1">
        <v>147.5</v>
      </c>
      <c r="Z289" s="1">
        <v>155.1</v>
      </c>
      <c r="AA289" s="1">
        <v>163.5</v>
      </c>
      <c r="AB289" s="1">
        <v>156.19999999999999</v>
      </c>
      <c r="AC289" s="1">
        <v>155.9</v>
      </c>
      <c r="AD289" s="1">
        <v>158.5</v>
      </c>
    </row>
    <row r="290" spans="1:30" x14ac:dyDescent="0.3">
      <c r="A290" s="1" t="s">
        <v>32</v>
      </c>
      <c r="B290" s="1">
        <v>2021</v>
      </c>
      <c r="C290" s="1" t="s">
        <v>31</v>
      </c>
      <c r="D290" s="1">
        <v>148</v>
      </c>
      <c r="E290" s="1">
        <v>194.8</v>
      </c>
      <c r="F290" s="1">
        <v>178.4</v>
      </c>
      <c r="G290" s="1">
        <v>154.4</v>
      </c>
      <c r="H290" s="1">
        <v>144.1</v>
      </c>
      <c r="I290" s="1">
        <v>152.6</v>
      </c>
      <c r="J290" s="1">
        <v>206.8</v>
      </c>
      <c r="K290" s="1">
        <v>162.1</v>
      </c>
      <c r="L290" s="1">
        <v>116.3</v>
      </c>
      <c r="M290" s="1">
        <v>163</v>
      </c>
      <c r="N290" s="1">
        <v>145.9</v>
      </c>
      <c r="O290" s="1">
        <v>167.2</v>
      </c>
      <c r="P290" s="1">
        <v>163.4</v>
      </c>
      <c r="Q290" s="1">
        <v>191.8</v>
      </c>
      <c r="R290" s="1">
        <v>152.5</v>
      </c>
      <c r="S290" s="1">
        <v>137.30000000000001</v>
      </c>
      <c r="T290" s="1">
        <v>150.19999999999999</v>
      </c>
      <c r="U290" s="1" t="s">
        <v>136</v>
      </c>
      <c r="V290" s="1">
        <v>142.9</v>
      </c>
      <c r="W290" s="1">
        <v>145.69999999999999</v>
      </c>
      <c r="X290" s="1">
        <v>154.1</v>
      </c>
      <c r="Y290" s="1">
        <v>136.9</v>
      </c>
      <c r="Z290" s="1">
        <v>145.4</v>
      </c>
      <c r="AA290" s="1">
        <v>156.1</v>
      </c>
      <c r="AB290" s="1">
        <v>157.69999999999999</v>
      </c>
      <c r="AC290" s="1">
        <v>147.6</v>
      </c>
      <c r="AD290" s="1">
        <v>156</v>
      </c>
    </row>
    <row r="291" spans="1:30" x14ac:dyDescent="0.3">
      <c r="A291" s="1" t="s">
        <v>34</v>
      </c>
      <c r="B291" s="1">
        <v>2021</v>
      </c>
      <c r="C291" s="1" t="s">
        <v>31</v>
      </c>
      <c r="D291" s="1">
        <v>144.9</v>
      </c>
      <c r="E291" s="1">
        <v>190.1</v>
      </c>
      <c r="F291" s="1">
        <v>175.3</v>
      </c>
      <c r="G291" s="1">
        <v>154.1</v>
      </c>
      <c r="H291" s="1">
        <v>150.9</v>
      </c>
      <c r="I291" s="1">
        <v>149.6</v>
      </c>
      <c r="J291" s="1">
        <v>194.2</v>
      </c>
      <c r="K291" s="1">
        <v>160.4</v>
      </c>
      <c r="L291" s="1">
        <v>114.6</v>
      </c>
      <c r="M291" s="1">
        <v>164</v>
      </c>
      <c r="N291" s="1">
        <v>151.80000000000001</v>
      </c>
      <c r="O291" s="1">
        <v>165.6</v>
      </c>
      <c r="P291" s="1">
        <v>161</v>
      </c>
      <c r="Q291" s="1">
        <v>186.5</v>
      </c>
      <c r="R291" s="1">
        <v>155.5</v>
      </c>
      <c r="S291" s="1">
        <v>146.1</v>
      </c>
      <c r="T291" s="1">
        <v>154.19999999999999</v>
      </c>
      <c r="U291" s="1" t="s">
        <v>136</v>
      </c>
      <c r="V291" s="1">
        <v>147.9</v>
      </c>
      <c r="W291" s="1">
        <v>150</v>
      </c>
      <c r="X291" s="1">
        <v>159.30000000000001</v>
      </c>
      <c r="Y291" s="1">
        <v>141.9</v>
      </c>
      <c r="Z291" s="1">
        <v>149.6</v>
      </c>
      <c r="AA291" s="1">
        <v>159.19999999999999</v>
      </c>
      <c r="AB291" s="1">
        <v>156.80000000000001</v>
      </c>
      <c r="AC291" s="1">
        <v>151.9</v>
      </c>
      <c r="AD291" s="1">
        <v>157.30000000000001</v>
      </c>
    </row>
    <row r="292" spans="1:30" x14ac:dyDescent="0.3">
      <c r="A292" s="1" t="s">
        <v>30</v>
      </c>
      <c r="B292" s="1">
        <v>2021</v>
      </c>
      <c r="C292" s="1" t="s">
        <v>35</v>
      </c>
      <c r="D292" s="1">
        <v>142.80000000000001</v>
      </c>
      <c r="E292" s="1">
        <v>184</v>
      </c>
      <c r="F292" s="1">
        <v>168</v>
      </c>
      <c r="G292" s="1">
        <v>154.4</v>
      </c>
      <c r="H292" s="1">
        <v>163</v>
      </c>
      <c r="I292" s="1">
        <v>147.80000000000001</v>
      </c>
      <c r="J292" s="1">
        <v>149.69999999999999</v>
      </c>
      <c r="K292" s="1">
        <v>158.30000000000001</v>
      </c>
      <c r="L292" s="1">
        <v>111.8</v>
      </c>
      <c r="M292" s="1">
        <v>165</v>
      </c>
      <c r="N292" s="1">
        <v>160</v>
      </c>
      <c r="O292" s="1">
        <v>165.8</v>
      </c>
      <c r="P292" s="1">
        <v>154.69999999999999</v>
      </c>
      <c r="Q292" s="1">
        <v>186.5</v>
      </c>
      <c r="R292" s="1">
        <v>159.1</v>
      </c>
      <c r="S292" s="1">
        <v>153.9</v>
      </c>
      <c r="T292" s="1">
        <v>158.4</v>
      </c>
      <c r="U292" s="1" t="s">
        <v>137</v>
      </c>
      <c r="V292" s="1">
        <v>154.4</v>
      </c>
      <c r="W292" s="1">
        <v>154.80000000000001</v>
      </c>
      <c r="X292" s="1">
        <v>164.3</v>
      </c>
      <c r="Y292" s="1">
        <v>150.19999999999999</v>
      </c>
      <c r="Z292" s="1">
        <v>157</v>
      </c>
      <c r="AA292" s="1">
        <v>163.6</v>
      </c>
      <c r="AB292" s="1">
        <v>155.19999999999999</v>
      </c>
      <c r="AC292" s="1">
        <v>157.19999999999999</v>
      </c>
      <c r="AD292" s="1">
        <v>156.69999999999999</v>
      </c>
    </row>
    <row r="293" spans="1:30" x14ac:dyDescent="0.3">
      <c r="A293" s="1" t="s">
        <v>32</v>
      </c>
      <c r="B293" s="1">
        <v>2021</v>
      </c>
      <c r="C293" s="1" t="s">
        <v>35</v>
      </c>
      <c r="D293" s="1">
        <v>147.6</v>
      </c>
      <c r="E293" s="1">
        <v>191.2</v>
      </c>
      <c r="F293" s="1">
        <v>169.9</v>
      </c>
      <c r="G293" s="1">
        <v>155.1</v>
      </c>
      <c r="H293" s="1">
        <v>151.4</v>
      </c>
      <c r="I293" s="1">
        <v>154</v>
      </c>
      <c r="J293" s="1">
        <v>180.2</v>
      </c>
      <c r="K293" s="1">
        <v>159.80000000000001</v>
      </c>
      <c r="L293" s="1">
        <v>114.9</v>
      </c>
      <c r="M293" s="1">
        <v>162.5</v>
      </c>
      <c r="N293" s="1">
        <v>149.19999999999999</v>
      </c>
      <c r="O293" s="1">
        <v>169.4</v>
      </c>
      <c r="P293" s="1">
        <v>160.80000000000001</v>
      </c>
      <c r="Q293" s="1">
        <v>193.3</v>
      </c>
      <c r="R293" s="1">
        <v>154.19999999999999</v>
      </c>
      <c r="S293" s="1">
        <v>138.19999999999999</v>
      </c>
      <c r="T293" s="1">
        <v>151.80000000000001</v>
      </c>
      <c r="U293" s="1" t="s">
        <v>137</v>
      </c>
      <c r="V293" s="1">
        <v>149.1</v>
      </c>
      <c r="W293" s="1">
        <v>146.5</v>
      </c>
      <c r="X293" s="1">
        <v>156.30000000000001</v>
      </c>
      <c r="Y293" s="1">
        <v>140.5</v>
      </c>
      <c r="Z293" s="1">
        <v>147.30000000000001</v>
      </c>
      <c r="AA293" s="1">
        <v>156.6</v>
      </c>
      <c r="AB293" s="1">
        <v>156.69999999999999</v>
      </c>
      <c r="AC293" s="1">
        <v>149.30000000000001</v>
      </c>
      <c r="AD293" s="1">
        <v>156.5</v>
      </c>
    </row>
    <row r="294" spans="1:30" x14ac:dyDescent="0.3">
      <c r="A294" s="1" t="s">
        <v>34</v>
      </c>
      <c r="B294" s="1">
        <v>2021</v>
      </c>
      <c r="C294" s="1" t="s">
        <v>35</v>
      </c>
      <c r="D294" s="1">
        <v>144.30000000000001</v>
      </c>
      <c r="E294" s="1">
        <v>186.5</v>
      </c>
      <c r="F294" s="1">
        <v>168.7</v>
      </c>
      <c r="G294" s="1">
        <v>154.69999999999999</v>
      </c>
      <c r="H294" s="1">
        <v>158.69999999999999</v>
      </c>
      <c r="I294" s="1">
        <v>150.69999999999999</v>
      </c>
      <c r="J294" s="1">
        <v>160</v>
      </c>
      <c r="K294" s="1">
        <v>158.80000000000001</v>
      </c>
      <c r="L294" s="1">
        <v>112.8</v>
      </c>
      <c r="M294" s="1">
        <v>164.2</v>
      </c>
      <c r="N294" s="1">
        <v>155.5</v>
      </c>
      <c r="O294" s="1">
        <v>167.5</v>
      </c>
      <c r="P294" s="1">
        <v>156.9</v>
      </c>
      <c r="Q294" s="1">
        <v>188.3</v>
      </c>
      <c r="R294" s="1">
        <v>157.19999999999999</v>
      </c>
      <c r="S294" s="1">
        <v>147.4</v>
      </c>
      <c r="T294" s="1">
        <v>155.80000000000001</v>
      </c>
      <c r="U294" s="1" t="s">
        <v>137</v>
      </c>
      <c r="V294" s="1">
        <v>152.4</v>
      </c>
      <c r="W294" s="1">
        <v>150.9</v>
      </c>
      <c r="X294" s="1">
        <v>161.30000000000001</v>
      </c>
      <c r="Y294" s="1">
        <v>145.1</v>
      </c>
      <c r="Z294" s="1">
        <v>151.5</v>
      </c>
      <c r="AA294" s="1">
        <v>159.5</v>
      </c>
      <c r="AB294" s="1">
        <v>155.80000000000001</v>
      </c>
      <c r="AC294" s="1">
        <v>153.4</v>
      </c>
      <c r="AD294" s="1">
        <v>156.6</v>
      </c>
    </row>
    <row r="295" spans="1:30" x14ac:dyDescent="0.3">
      <c r="A295" s="1" t="s">
        <v>30</v>
      </c>
      <c r="B295" s="1">
        <v>2021</v>
      </c>
      <c r="C295" s="1" t="s">
        <v>37</v>
      </c>
      <c r="D295" s="1">
        <v>142.5</v>
      </c>
      <c r="E295" s="1">
        <v>189.4</v>
      </c>
      <c r="F295" s="1">
        <v>163.19999999999999</v>
      </c>
      <c r="G295" s="1">
        <v>154.5</v>
      </c>
      <c r="H295" s="1">
        <v>168.2</v>
      </c>
      <c r="I295" s="1">
        <v>150.5</v>
      </c>
      <c r="J295" s="1">
        <v>141</v>
      </c>
      <c r="K295" s="1">
        <v>159.19999999999999</v>
      </c>
      <c r="L295" s="1">
        <v>111.7</v>
      </c>
      <c r="M295" s="1">
        <v>164</v>
      </c>
      <c r="N295" s="1">
        <v>160.6</v>
      </c>
      <c r="O295" s="1">
        <v>166.4</v>
      </c>
      <c r="P295" s="1">
        <v>154.5</v>
      </c>
      <c r="Q295" s="1">
        <v>186.1</v>
      </c>
      <c r="R295" s="1">
        <v>159.6</v>
      </c>
      <c r="S295" s="1">
        <v>154.4</v>
      </c>
      <c r="T295" s="1">
        <v>158.9</v>
      </c>
      <c r="U295" s="1" t="s">
        <v>138</v>
      </c>
      <c r="V295" s="1">
        <v>156</v>
      </c>
      <c r="W295" s="1">
        <v>154.80000000000001</v>
      </c>
      <c r="X295" s="1">
        <v>164.6</v>
      </c>
      <c r="Y295" s="1">
        <v>151.30000000000001</v>
      </c>
      <c r="Z295" s="1">
        <v>157.80000000000001</v>
      </c>
      <c r="AA295" s="1">
        <v>163.80000000000001</v>
      </c>
      <c r="AB295" s="1">
        <v>153.1</v>
      </c>
      <c r="AC295" s="1">
        <v>157.30000000000001</v>
      </c>
      <c r="AD295" s="1">
        <v>156.69999999999999</v>
      </c>
    </row>
    <row r="296" spans="1:30" x14ac:dyDescent="0.3">
      <c r="A296" s="1" t="s">
        <v>32</v>
      </c>
      <c r="B296" s="1">
        <v>2021</v>
      </c>
      <c r="C296" s="1" t="s">
        <v>37</v>
      </c>
      <c r="D296" s="1">
        <v>147.5</v>
      </c>
      <c r="E296" s="1">
        <v>197.5</v>
      </c>
      <c r="F296" s="1">
        <v>164.7</v>
      </c>
      <c r="G296" s="1">
        <v>155.6</v>
      </c>
      <c r="H296" s="1">
        <v>156.4</v>
      </c>
      <c r="I296" s="1">
        <v>157.30000000000001</v>
      </c>
      <c r="J296" s="1">
        <v>166.1</v>
      </c>
      <c r="K296" s="1">
        <v>161.1</v>
      </c>
      <c r="L296" s="1">
        <v>114.3</v>
      </c>
      <c r="M296" s="1">
        <v>162.6</v>
      </c>
      <c r="N296" s="1">
        <v>150.69999999999999</v>
      </c>
      <c r="O296" s="1">
        <v>170.3</v>
      </c>
      <c r="P296" s="1">
        <v>160.4</v>
      </c>
      <c r="Q296" s="1">
        <v>193.5</v>
      </c>
      <c r="R296" s="1">
        <v>155.1</v>
      </c>
      <c r="S296" s="1">
        <v>138.69999999999999</v>
      </c>
      <c r="T296" s="1">
        <v>152.6</v>
      </c>
      <c r="U296" s="1" t="s">
        <v>139</v>
      </c>
      <c r="V296" s="1">
        <v>154.80000000000001</v>
      </c>
      <c r="W296" s="1">
        <v>147.19999999999999</v>
      </c>
      <c r="X296" s="1">
        <v>156.9</v>
      </c>
      <c r="Y296" s="1">
        <v>141.69999999999999</v>
      </c>
      <c r="Z296" s="1">
        <v>148.6</v>
      </c>
      <c r="AA296" s="1">
        <v>157.6</v>
      </c>
      <c r="AB296" s="1">
        <v>154.9</v>
      </c>
      <c r="AC296" s="1">
        <v>150</v>
      </c>
      <c r="AD296" s="1">
        <v>156.9</v>
      </c>
    </row>
    <row r="297" spans="1:30" x14ac:dyDescent="0.3">
      <c r="A297" s="1" t="s">
        <v>34</v>
      </c>
      <c r="B297" s="1">
        <v>2021</v>
      </c>
      <c r="C297" s="1" t="s">
        <v>37</v>
      </c>
      <c r="D297" s="1">
        <v>144.1</v>
      </c>
      <c r="E297" s="1">
        <v>192.2</v>
      </c>
      <c r="F297" s="1">
        <v>163.80000000000001</v>
      </c>
      <c r="G297" s="1">
        <v>154.9</v>
      </c>
      <c r="H297" s="1">
        <v>163.9</v>
      </c>
      <c r="I297" s="1">
        <v>153.69999999999999</v>
      </c>
      <c r="J297" s="1">
        <v>149.5</v>
      </c>
      <c r="K297" s="1">
        <v>159.80000000000001</v>
      </c>
      <c r="L297" s="1">
        <v>112.6</v>
      </c>
      <c r="M297" s="1">
        <v>163.5</v>
      </c>
      <c r="N297" s="1">
        <v>156.5</v>
      </c>
      <c r="O297" s="1">
        <v>168.2</v>
      </c>
      <c r="P297" s="1">
        <v>156.69999999999999</v>
      </c>
      <c r="Q297" s="1">
        <v>188.1</v>
      </c>
      <c r="R297" s="1">
        <v>157.80000000000001</v>
      </c>
      <c r="S297" s="1">
        <v>147.9</v>
      </c>
      <c r="T297" s="1">
        <v>156.4</v>
      </c>
      <c r="U297" s="1" t="s">
        <v>139</v>
      </c>
      <c r="V297" s="1">
        <v>155.5</v>
      </c>
      <c r="W297" s="1">
        <v>151.19999999999999</v>
      </c>
      <c r="X297" s="1">
        <v>161.69999999999999</v>
      </c>
      <c r="Y297" s="1">
        <v>146.19999999999999</v>
      </c>
      <c r="Z297" s="1">
        <v>152.6</v>
      </c>
      <c r="AA297" s="1">
        <v>160.19999999999999</v>
      </c>
      <c r="AB297" s="1">
        <v>153.80000000000001</v>
      </c>
      <c r="AC297" s="1">
        <v>153.80000000000001</v>
      </c>
      <c r="AD297" s="1">
        <v>156.80000000000001</v>
      </c>
    </row>
    <row r="298" spans="1:30" x14ac:dyDescent="0.3">
      <c r="A298" s="1" t="s">
        <v>30</v>
      </c>
      <c r="B298" s="1">
        <v>2021</v>
      </c>
      <c r="C298" s="1" t="s">
        <v>38</v>
      </c>
      <c r="D298" s="1">
        <v>142.69999999999999</v>
      </c>
      <c r="E298" s="1">
        <v>195.5</v>
      </c>
      <c r="F298" s="1">
        <v>163.4</v>
      </c>
      <c r="G298" s="1">
        <v>155</v>
      </c>
      <c r="H298" s="1">
        <v>175.2</v>
      </c>
      <c r="I298" s="1">
        <v>160.6</v>
      </c>
      <c r="J298" s="1">
        <v>135.1</v>
      </c>
      <c r="K298" s="1">
        <v>161.1</v>
      </c>
      <c r="L298" s="1">
        <v>112.2</v>
      </c>
      <c r="M298" s="1">
        <v>164.4</v>
      </c>
      <c r="N298" s="1">
        <v>161.9</v>
      </c>
      <c r="O298" s="1">
        <v>166.8</v>
      </c>
      <c r="P298" s="1">
        <v>155.6</v>
      </c>
      <c r="Q298" s="1">
        <v>186.8</v>
      </c>
      <c r="R298" s="1">
        <v>160.69999999999999</v>
      </c>
      <c r="S298" s="1">
        <v>155.1</v>
      </c>
      <c r="T298" s="1">
        <v>159.9</v>
      </c>
      <c r="U298" s="1" t="s">
        <v>138</v>
      </c>
      <c r="V298" s="1">
        <v>156</v>
      </c>
      <c r="W298" s="1">
        <v>155.5</v>
      </c>
      <c r="X298" s="1">
        <v>165.3</v>
      </c>
      <c r="Y298" s="1">
        <v>151.69999999999999</v>
      </c>
      <c r="Z298" s="1">
        <v>158.6</v>
      </c>
      <c r="AA298" s="1">
        <v>164.1</v>
      </c>
      <c r="AB298" s="1">
        <v>154.6</v>
      </c>
      <c r="AC298" s="1">
        <v>158</v>
      </c>
      <c r="AD298" s="1">
        <v>157.6</v>
      </c>
    </row>
    <row r="299" spans="1:30" x14ac:dyDescent="0.3">
      <c r="A299" s="1" t="s">
        <v>32</v>
      </c>
      <c r="B299" s="1">
        <v>2021</v>
      </c>
      <c r="C299" s="1" t="s">
        <v>38</v>
      </c>
      <c r="D299" s="1">
        <v>147.6</v>
      </c>
      <c r="E299" s="1">
        <v>202.5</v>
      </c>
      <c r="F299" s="1">
        <v>166.4</v>
      </c>
      <c r="G299" s="1">
        <v>156</v>
      </c>
      <c r="H299" s="1">
        <v>161.4</v>
      </c>
      <c r="I299" s="1">
        <v>168.8</v>
      </c>
      <c r="J299" s="1">
        <v>161.6</v>
      </c>
      <c r="K299" s="1">
        <v>162.80000000000001</v>
      </c>
      <c r="L299" s="1">
        <v>114.8</v>
      </c>
      <c r="M299" s="1">
        <v>162.80000000000001</v>
      </c>
      <c r="N299" s="1">
        <v>151.5</v>
      </c>
      <c r="O299" s="1">
        <v>171.4</v>
      </c>
      <c r="P299" s="1">
        <v>162</v>
      </c>
      <c r="Q299" s="1">
        <v>194.4</v>
      </c>
      <c r="R299" s="1">
        <v>155.9</v>
      </c>
      <c r="S299" s="1">
        <v>139.30000000000001</v>
      </c>
      <c r="T299" s="1">
        <v>153.4</v>
      </c>
      <c r="U299" s="1" t="s">
        <v>140</v>
      </c>
      <c r="V299" s="1">
        <v>154.9</v>
      </c>
      <c r="W299" s="1">
        <v>147.6</v>
      </c>
      <c r="X299" s="1">
        <v>157.5</v>
      </c>
      <c r="Y299" s="1">
        <v>142.1</v>
      </c>
      <c r="Z299" s="1">
        <v>149.1</v>
      </c>
      <c r="AA299" s="1">
        <v>157.6</v>
      </c>
      <c r="AB299" s="1">
        <v>156.6</v>
      </c>
      <c r="AC299" s="1">
        <v>150.5</v>
      </c>
      <c r="AD299" s="1">
        <v>158</v>
      </c>
    </row>
    <row r="300" spans="1:30" x14ac:dyDescent="0.3">
      <c r="A300" s="1" t="s">
        <v>34</v>
      </c>
      <c r="B300" s="1">
        <v>2021</v>
      </c>
      <c r="C300" s="1" t="s">
        <v>38</v>
      </c>
      <c r="D300" s="1">
        <v>144.30000000000001</v>
      </c>
      <c r="E300" s="1">
        <v>198</v>
      </c>
      <c r="F300" s="1">
        <v>164.6</v>
      </c>
      <c r="G300" s="1">
        <v>155.4</v>
      </c>
      <c r="H300" s="1">
        <v>170.1</v>
      </c>
      <c r="I300" s="1">
        <v>164.4</v>
      </c>
      <c r="J300" s="1">
        <v>144.1</v>
      </c>
      <c r="K300" s="1">
        <v>161.69999999999999</v>
      </c>
      <c r="L300" s="1">
        <v>113.1</v>
      </c>
      <c r="M300" s="1">
        <v>163.9</v>
      </c>
      <c r="N300" s="1">
        <v>157.6</v>
      </c>
      <c r="O300" s="1">
        <v>168.9</v>
      </c>
      <c r="P300" s="1">
        <v>158</v>
      </c>
      <c r="Q300" s="1">
        <v>188.8</v>
      </c>
      <c r="R300" s="1">
        <v>158.80000000000001</v>
      </c>
      <c r="S300" s="1">
        <v>148.5</v>
      </c>
      <c r="T300" s="1">
        <v>157.30000000000001</v>
      </c>
      <c r="U300" s="1" t="s">
        <v>140</v>
      </c>
      <c r="V300" s="1">
        <v>155.6</v>
      </c>
      <c r="W300" s="1">
        <v>151.80000000000001</v>
      </c>
      <c r="X300" s="1">
        <v>162.30000000000001</v>
      </c>
      <c r="Y300" s="1">
        <v>146.6</v>
      </c>
      <c r="Z300" s="1">
        <v>153.19999999999999</v>
      </c>
      <c r="AA300" s="1">
        <v>160.30000000000001</v>
      </c>
      <c r="AB300" s="1">
        <v>155.4</v>
      </c>
      <c r="AC300" s="1">
        <v>154.4</v>
      </c>
      <c r="AD300" s="1">
        <v>157.80000000000001</v>
      </c>
    </row>
    <row r="301" spans="1:30" x14ac:dyDescent="0.3">
      <c r="A301" s="1" t="s">
        <v>30</v>
      </c>
      <c r="B301" s="1">
        <v>2021</v>
      </c>
      <c r="C301" s="1" t="s">
        <v>40</v>
      </c>
      <c r="D301" s="1">
        <v>145.1</v>
      </c>
      <c r="E301" s="1">
        <v>198.5</v>
      </c>
      <c r="F301" s="1">
        <v>168.6</v>
      </c>
      <c r="G301" s="1">
        <v>155.80000000000001</v>
      </c>
      <c r="H301" s="1">
        <v>184.4</v>
      </c>
      <c r="I301" s="1">
        <v>162.30000000000001</v>
      </c>
      <c r="J301" s="1">
        <v>138.4</v>
      </c>
      <c r="K301" s="1">
        <v>165.1</v>
      </c>
      <c r="L301" s="1">
        <v>114.3</v>
      </c>
      <c r="M301" s="1">
        <v>169.7</v>
      </c>
      <c r="N301" s="1">
        <v>164.6</v>
      </c>
      <c r="O301" s="1">
        <v>169.8</v>
      </c>
      <c r="P301" s="1">
        <v>158.69999999999999</v>
      </c>
      <c r="Q301" s="1">
        <v>189.6</v>
      </c>
      <c r="R301" s="1">
        <v>165.3</v>
      </c>
      <c r="S301" s="1">
        <v>160.6</v>
      </c>
      <c r="T301" s="1">
        <v>164.5</v>
      </c>
      <c r="U301" s="1" t="s">
        <v>141</v>
      </c>
      <c r="V301" s="1">
        <v>161.69999999999999</v>
      </c>
      <c r="W301" s="1">
        <v>158.80000000000001</v>
      </c>
      <c r="X301" s="1">
        <v>169.1</v>
      </c>
      <c r="Y301" s="1">
        <v>153.19999999999999</v>
      </c>
      <c r="Z301" s="1">
        <v>160</v>
      </c>
      <c r="AA301" s="1">
        <v>167.6</v>
      </c>
      <c r="AB301" s="1">
        <v>159.30000000000001</v>
      </c>
      <c r="AC301" s="1">
        <v>161.1</v>
      </c>
      <c r="AD301" s="1">
        <v>161.1</v>
      </c>
    </row>
    <row r="302" spans="1:30" x14ac:dyDescent="0.3">
      <c r="A302" s="1" t="s">
        <v>32</v>
      </c>
      <c r="B302" s="1">
        <v>2021</v>
      </c>
      <c r="C302" s="1" t="s">
        <v>40</v>
      </c>
      <c r="D302" s="1">
        <v>148.80000000000001</v>
      </c>
      <c r="E302" s="1">
        <v>204.3</v>
      </c>
      <c r="F302" s="1">
        <v>173</v>
      </c>
      <c r="G302" s="1">
        <v>156.5</v>
      </c>
      <c r="H302" s="1">
        <v>168.8</v>
      </c>
      <c r="I302" s="1">
        <v>172.5</v>
      </c>
      <c r="J302" s="1">
        <v>166.5</v>
      </c>
      <c r="K302" s="1">
        <v>165.9</v>
      </c>
      <c r="L302" s="1">
        <v>115.9</v>
      </c>
      <c r="M302" s="1">
        <v>165.2</v>
      </c>
      <c r="N302" s="1">
        <v>152</v>
      </c>
      <c r="O302" s="1">
        <v>171.1</v>
      </c>
      <c r="P302" s="1">
        <v>164.2</v>
      </c>
      <c r="Q302" s="1">
        <v>198.2</v>
      </c>
      <c r="R302" s="1">
        <v>156.5</v>
      </c>
      <c r="S302" s="1">
        <v>140.19999999999999</v>
      </c>
      <c r="T302" s="1">
        <v>154.1</v>
      </c>
      <c r="U302" s="1" t="s">
        <v>141</v>
      </c>
      <c r="V302" s="1">
        <v>155.5</v>
      </c>
      <c r="W302" s="1">
        <v>150.1</v>
      </c>
      <c r="X302" s="1">
        <v>160.4</v>
      </c>
      <c r="Y302" s="1">
        <v>145</v>
      </c>
      <c r="Z302" s="1">
        <v>152.6</v>
      </c>
      <c r="AA302" s="1">
        <v>156.6</v>
      </c>
      <c r="AB302" s="1">
        <v>157.5</v>
      </c>
      <c r="AC302" s="1">
        <v>152.30000000000001</v>
      </c>
      <c r="AD302" s="1">
        <v>159.5</v>
      </c>
    </row>
    <row r="303" spans="1:30" x14ac:dyDescent="0.3">
      <c r="A303" s="1" t="s">
        <v>34</v>
      </c>
      <c r="B303" s="1">
        <v>2021</v>
      </c>
      <c r="C303" s="1" t="s">
        <v>40</v>
      </c>
      <c r="D303" s="1">
        <v>146.30000000000001</v>
      </c>
      <c r="E303" s="1">
        <v>200.5</v>
      </c>
      <c r="F303" s="1">
        <v>170.3</v>
      </c>
      <c r="G303" s="1">
        <v>156.1</v>
      </c>
      <c r="H303" s="1">
        <v>178.7</v>
      </c>
      <c r="I303" s="1">
        <v>167.1</v>
      </c>
      <c r="J303" s="1">
        <v>147.9</v>
      </c>
      <c r="K303" s="1">
        <v>165.4</v>
      </c>
      <c r="L303" s="1">
        <v>114.8</v>
      </c>
      <c r="M303" s="1">
        <v>168.2</v>
      </c>
      <c r="N303" s="1">
        <v>159.30000000000001</v>
      </c>
      <c r="O303" s="1">
        <v>170.4</v>
      </c>
      <c r="P303" s="1">
        <v>160.69999999999999</v>
      </c>
      <c r="Q303" s="1">
        <v>191.9</v>
      </c>
      <c r="R303" s="1">
        <v>161.80000000000001</v>
      </c>
      <c r="S303" s="1">
        <v>152.1</v>
      </c>
      <c r="T303" s="1">
        <v>160.4</v>
      </c>
      <c r="U303" s="1" t="s">
        <v>141</v>
      </c>
      <c r="V303" s="1">
        <v>159.4</v>
      </c>
      <c r="W303" s="1">
        <v>154.69999999999999</v>
      </c>
      <c r="X303" s="1">
        <v>165.8</v>
      </c>
      <c r="Y303" s="1">
        <v>148.9</v>
      </c>
      <c r="Z303" s="1">
        <v>155.80000000000001</v>
      </c>
      <c r="AA303" s="1">
        <v>161.19999999999999</v>
      </c>
      <c r="AB303" s="1">
        <v>158.6</v>
      </c>
      <c r="AC303" s="1">
        <v>156.80000000000001</v>
      </c>
      <c r="AD303" s="1">
        <v>160.4</v>
      </c>
    </row>
    <row r="304" spans="1:30" x14ac:dyDescent="0.3">
      <c r="A304" s="1" t="s">
        <v>30</v>
      </c>
      <c r="B304" s="1">
        <v>2021</v>
      </c>
      <c r="C304" s="1" t="s">
        <v>41</v>
      </c>
      <c r="D304" s="1">
        <v>145.6</v>
      </c>
      <c r="E304" s="1">
        <v>200.1</v>
      </c>
      <c r="F304" s="1">
        <v>179.3</v>
      </c>
      <c r="G304" s="1">
        <v>156.1</v>
      </c>
      <c r="H304" s="1">
        <v>190.4</v>
      </c>
      <c r="I304" s="1">
        <v>158.6</v>
      </c>
      <c r="J304" s="1">
        <v>144.69999999999999</v>
      </c>
      <c r="K304" s="1">
        <v>165.5</v>
      </c>
      <c r="L304" s="1">
        <v>114.6</v>
      </c>
      <c r="M304" s="1">
        <v>170</v>
      </c>
      <c r="N304" s="1">
        <v>165.5</v>
      </c>
      <c r="O304" s="1">
        <v>171.7</v>
      </c>
      <c r="P304" s="1">
        <v>160.5</v>
      </c>
      <c r="Q304" s="1">
        <v>189.1</v>
      </c>
      <c r="R304" s="1">
        <v>165.3</v>
      </c>
      <c r="S304" s="1">
        <v>159.9</v>
      </c>
      <c r="T304" s="1">
        <v>164.6</v>
      </c>
      <c r="U304" s="1" t="s">
        <v>142</v>
      </c>
      <c r="V304" s="1">
        <v>162.1</v>
      </c>
      <c r="W304" s="1">
        <v>159.19999999999999</v>
      </c>
      <c r="X304" s="1">
        <v>169.7</v>
      </c>
      <c r="Y304" s="1">
        <v>154.19999999999999</v>
      </c>
      <c r="Z304" s="1">
        <v>160.4</v>
      </c>
      <c r="AA304" s="1">
        <v>166.8</v>
      </c>
      <c r="AB304" s="1">
        <v>159.4</v>
      </c>
      <c r="AC304" s="1">
        <v>161.5</v>
      </c>
      <c r="AD304" s="1">
        <v>162.1</v>
      </c>
    </row>
    <row r="305" spans="1:30" x14ac:dyDescent="0.3">
      <c r="A305" s="1" t="s">
        <v>32</v>
      </c>
      <c r="B305" s="1">
        <v>2021</v>
      </c>
      <c r="C305" s="1" t="s">
        <v>41</v>
      </c>
      <c r="D305" s="1">
        <v>149.19999999999999</v>
      </c>
      <c r="E305" s="1">
        <v>205.5</v>
      </c>
      <c r="F305" s="1">
        <v>182.8</v>
      </c>
      <c r="G305" s="1">
        <v>156.5</v>
      </c>
      <c r="H305" s="1">
        <v>172.2</v>
      </c>
      <c r="I305" s="1">
        <v>171.5</v>
      </c>
      <c r="J305" s="1">
        <v>176.2</v>
      </c>
      <c r="K305" s="1">
        <v>166.9</v>
      </c>
      <c r="L305" s="1">
        <v>116.1</v>
      </c>
      <c r="M305" s="1">
        <v>165.5</v>
      </c>
      <c r="N305" s="1">
        <v>152.30000000000001</v>
      </c>
      <c r="O305" s="1">
        <v>173.3</v>
      </c>
      <c r="P305" s="1">
        <v>166.2</v>
      </c>
      <c r="Q305" s="1">
        <v>195.6</v>
      </c>
      <c r="R305" s="1">
        <v>157.30000000000001</v>
      </c>
      <c r="S305" s="1">
        <v>140.5</v>
      </c>
      <c r="T305" s="1">
        <v>154.80000000000001</v>
      </c>
      <c r="U305" s="1" t="s">
        <v>142</v>
      </c>
      <c r="V305" s="1">
        <v>156.1</v>
      </c>
      <c r="W305" s="1">
        <v>149.80000000000001</v>
      </c>
      <c r="X305" s="1">
        <v>160.80000000000001</v>
      </c>
      <c r="Y305" s="1">
        <v>147.5</v>
      </c>
      <c r="Z305" s="1">
        <v>150.69999999999999</v>
      </c>
      <c r="AA305" s="1">
        <v>158.1</v>
      </c>
      <c r="AB305" s="1">
        <v>158</v>
      </c>
      <c r="AC305" s="1">
        <v>153.4</v>
      </c>
      <c r="AD305" s="1">
        <v>160.4</v>
      </c>
    </row>
    <row r="306" spans="1:30" x14ac:dyDescent="0.3">
      <c r="A306" s="1" t="s">
        <v>34</v>
      </c>
      <c r="B306" s="1">
        <v>2021</v>
      </c>
      <c r="C306" s="1" t="s">
        <v>41</v>
      </c>
      <c r="D306" s="1">
        <v>146.69999999999999</v>
      </c>
      <c r="E306" s="1">
        <v>202</v>
      </c>
      <c r="F306" s="1">
        <v>180.7</v>
      </c>
      <c r="G306" s="1">
        <v>156.19999999999999</v>
      </c>
      <c r="H306" s="1">
        <v>183.7</v>
      </c>
      <c r="I306" s="1">
        <v>164.6</v>
      </c>
      <c r="J306" s="1">
        <v>155.4</v>
      </c>
      <c r="K306" s="1">
        <v>166</v>
      </c>
      <c r="L306" s="1">
        <v>115.1</v>
      </c>
      <c r="M306" s="1">
        <v>168.5</v>
      </c>
      <c r="N306" s="1">
        <v>160</v>
      </c>
      <c r="O306" s="1">
        <v>172.4</v>
      </c>
      <c r="P306" s="1">
        <v>162.6</v>
      </c>
      <c r="Q306" s="1">
        <v>190.8</v>
      </c>
      <c r="R306" s="1">
        <v>162.19999999999999</v>
      </c>
      <c r="S306" s="1">
        <v>151.80000000000001</v>
      </c>
      <c r="T306" s="1">
        <v>160.69999999999999</v>
      </c>
      <c r="U306" s="1" t="s">
        <v>142</v>
      </c>
      <c r="V306" s="1">
        <v>159.80000000000001</v>
      </c>
      <c r="W306" s="1">
        <v>154.80000000000001</v>
      </c>
      <c r="X306" s="1">
        <v>166.3</v>
      </c>
      <c r="Y306" s="1">
        <v>150.69999999999999</v>
      </c>
      <c r="Z306" s="1">
        <v>154.9</v>
      </c>
      <c r="AA306" s="1">
        <v>161.69999999999999</v>
      </c>
      <c r="AB306" s="1">
        <v>158.80000000000001</v>
      </c>
      <c r="AC306" s="1">
        <v>157.6</v>
      </c>
      <c r="AD306" s="1">
        <v>161.30000000000001</v>
      </c>
    </row>
    <row r="307" spans="1:30" x14ac:dyDescent="0.3">
      <c r="A307" s="1" t="s">
        <v>30</v>
      </c>
      <c r="B307" s="1">
        <v>2021</v>
      </c>
      <c r="C307" s="1" t="s">
        <v>43</v>
      </c>
      <c r="D307" s="1">
        <v>145.1</v>
      </c>
      <c r="E307" s="1">
        <v>204.5</v>
      </c>
      <c r="F307" s="1">
        <v>180.4</v>
      </c>
      <c r="G307" s="1">
        <v>157.1</v>
      </c>
      <c r="H307" s="1">
        <v>188.7</v>
      </c>
      <c r="I307" s="1">
        <v>157.69999999999999</v>
      </c>
      <c r="J307" s="1">
        <v>152.80000000000001</v>
      </c>
      <c r="K307" s="1">
        <v>163.6</v>
      </c>
      <c r="L307" s="1">
        <v>113.9</v>
      </c>
      <c r="M307" s="1">
        <v>169.7</v>
      </c>
      <c r="N307" s="1">
        <v>166.2</v>
      </c>
      <c r="O307" s="1">
        <v>171</v>
      </c>
      <c r="P307" s="1">
        <v>161.69999999999999</v>
      </c>
      <c r="Q307" s="1">
        <v>189.7</v>
      </c>
      <c r="R307" s="1">
        <v>166</v>
      </c>
      <c r="S307" s="1">
        <v>161.1</v>
      </c>
      <c r="T307" s="1">
        <v>165.3</v>
      </c>
      <c r="U307" s="1" t="s">
        <v>143</v>
      </c>
      <c r="V307" s="1">
        <v>162.5</v>
      </c>
      <c r="W307" s="1">
        <v>160.30000000000001</v>
      </c>
      <c r="X307" s="1">
        <v>170.4</v>
      </c>
      <c r="Y307" s="1">
        <v>157.1</v>
      </c>
      <c r="Z307" s="1">
        <v>160.69999999999999</v>
      </c>
      <c r="AA307" s="1">
        <v>167.2</v>
      </c>
      <c r="AB307" s="1">
        <v>160.4</v>
      </c>
      <c r="AC307" s="1">
        <v>162.80000000000001</v>
      </c>
      <c r="AD307" s="1">
        <v>163.19999999999999</v>
      </c>
    </row>
    <row r="308" spans="1:30" x14ac:dyDescent="0.3">
      <c r="A308" s="1" t="s">
        <v>32</v>
      </c>
      <c r="B308" s="1">
        <v>2021</v>
      </c>
      <c r="C308" s="1" t="s">
        <v>43</v>
      </c>
      <c r="D308" s="1">
        <v>149.1</v>
      </c>
      <c r="E308" s="1">
        <v>210.9</v>
      </c>
      <c r="F308" s="1">
        <v>185</v>
      </c>
      <c r="G308" s="1">
        <v>158.19999999999999</v>
      </c>
      <c r="H308" s="1">
        <v>170.6</v>
      </c>
      <c r="I308" s="1">
        <v>170.9</v>
      </c>
      <c r="J308" s="1">
        <v>186.4</v>
      </c>
      <c r="K308" s="1">
        <v>164.7</v>
      </c>
      <c r="L308" s="1">
        <v>115.7</v>
      </c>
      <c r="M308" s="1">
        <v>165.5</v>
      </c>
      <c r="N308" s="1">
        <v>153.4</v>
      </c>
      <c r="O308" s="1">
        <v>173.5</v>
      </c>
      <c r="P308" s="1">
        <v>167.9</v>
      </c>
      <c r="Q308" s="1">
        <v>195.5</v>
      </c>
      <c r="R308" s="1">
        <v>157.9</v>
      </c>
      <c r="S308" s="1">
        <v>141.9</v>
      </c>
      <c r="T308" s="1">
        <v>155.5</v>
      </c>
      <c r="U308" s="1" t="s">
        <v>143</v>
      </c>
      <c r="V308" s="1">
        <v>157.69999999999999</v>
      </c>
      <c r="W308" s="1">
        <v>150.69999999999999</v>
      </c>
      <c r="X308" s="1">
        <v>161.5</v>
      </c>
      <c r="Y308" s="1">
        <v>149.5</v>
      </c>
      <c r="Z308" s="1">
        <v>151.19999999999999</v>
      </c>
      <c r="AA308" s="1">
        <v>160.30000000000001</v>
      </c>
      <c r="AB308" s="1">
        <v>159.6</v>
      </c>
      <c r="AC308" s="1">
        <v>155</v>
      </c>
      <c r="AD308" s="1">
        <v>161.80000000000001</v>
      </c>
    </row>
    <row r="309" spans="1:30" x14ac:dyDescent="0.3">
      <c r="A309" s="1" t="s">
        <v>34</v>
      </c>
      <c r="B309" s="1">
        <v>2021</v>
      </c>
      <c r="C309" s="1" t="s">
        <v>43</v>
      </c>
      <c r="D309" s="1">
        <v>146.4</v>
      </c>
      <c r="E309" s="1">
        <v>206.8</v>
      </c>
      <c r="F309" s="1">
        <v>182.2</v>
      </c>
      <c r="G309" s="1">
        <v>157.5</v>
      </c>
      <c r="H309" s="1">
        <v>182.1</v>
      </c>
      <c r="I309" s="1">
        <v>163.9</v>
      </c>
      <c r="J309" s="1">
        <v>164.2</v>
      </c>
      <c r="K309" s="1">
        <v>164</v>
      </c>
      <c r="L309" s="1">
        <v>114.5</v>
      </c>
      <c r="M309" s="1">
        <v>168.3</v>
      </c>
      <c r="N309" s="1">
        <v>160.9</v>
      </c>
      <c r="O309" s="1">
        <v>172.2</v>
      </c>
      <c r="P309" s="1">
        <v>164</v>
      </c>
      <c r="Q309" s="1">
        <v>191.2</v>
      </c>
      <c r="R309" s="1">
        <v>162.80000000000001</v>
      </c>
      <c r="S309" s="1">
        <v>153.1</v>
      </c>
      <c r="T309" s="1">
        <v>161.4</v>
      </c>
      <c r="U309" s="1" t="s">
        <v>143</v>
      </c>
      <c r="V309" s="1">
        <v>160.69999999999999</v>
      </c>
      <c r="W309" s="1">
        <v>155.80000000000001</v>
      </c>
      <c r="X309" s="1">
        <v>167</v>
      </c>
      <c r="Y309" s="1">
        <v>153.1</v>
      </c>
      <c r="Z309" s="1">
        <v>155.30000000000001</v>
      </c>
      <c r="AA309" s="1">
        <v>163.19999999999999</v>
      </c>
      <c r="AB309" s="1">
        <v>160.1</v>
      </c>
      <c r="AC309" s="1">
        <v>159</v>
      </c>
      <c r="AD309" s="1">
        <v>162.5</v>
      </c>
    </row>
    <row r="310" spans="1:30" x14ac:dyDescent="0.3">
      <c r="A310" s="1" t="s">
        <v>30</v>
      </c>
      <c r="B310" s="1">
        <v>2021</v>
      </c>
      <c r="C310" s="1" t="s">
        <v>45</v>
      </c>
      <c r="D310" s="1">
        <v>144.9</v>
      </c>
      <c r="E310" s="1">
        <v>202.3</v>
      </c>
      <c r="F310" s="1">
        <v>176.5</v>
      </c>
      <c r="G310" s="1">
        <v>157.5</v>
      </c>
      <c r="H310" s="1">
        <v>190.9</v>
      </c>
      <c r="I310" s="1">
        <v>155.69999999999999</v>
      </c>
      <c r="J310" s="1">
        <v>153.9</v>
      </c>
      <c r="K310" s="1">
        <v>162.80000000000001</v>
      </c>
      <c r="L310" s="1">
        <v>115.2</v>
      </c>
      <c r="M310" s="1">
        <v>169.8</v>
      </c>
      <c r="N310" s="1">
        <v>167.6</v>
      </c>
      <c r="O310" s="1">
        <v>171.9</v>
      </c>
      <c r="P310" s="1">
        <v>161.80000000000001</v>
      </c>
      <c r="Q310" s="1">
        <v>190.2</v>
      </c>
      <c r="R310" s="1">
        <v>167</v>
      </c>
      <c r="S310" s="1">
        <v>162.6</v>
      </c>
      <c r="T310" s="1">
        <v>166.3</v>
      </c>
      <c r="U310" s="1" t="s">
        <v>144</v>
      </c>
      <c r="V310" s="1">
        <v>163.1</v>
      </c>
      <c r="W310" s="1">
        <v>160.9</v>
      </c>
      <c r="X310" s="1">
        <v>171.1</v>
      </c>
      <c r="Y310" s="1">
        <v>157.69999999999999</v>
      </c>
      <c r="Z310" s="1">
        <v>161.1</v>
      </c>
      <c r="AA310" s="1">
        <v>167.5</v>
      </c>
      <c r="AB310" s="1">
        <v>160.30000000000001</v>
      </c>
      <c r="AC310" s="1">
        <v>163.30000000000001</v>
      </c>
      <c r="AD310" s="1">
        <v>163.6</v>
      </c>
    </row>
    <row r="311" spans="1:30" x14ac:dyDescent="0.3">
      <c r="A311" s="1" t="s">
        <v>32</v>
      </c>
      <c r="B311" s="1">
        <v>2021</v>
      </c>
      <c r="C311" s="1" t="s">
        <v>45</v>
      </c>
      <c r="D311" s="1">
        <v>149.30000000000001</v>
      </c>
      <c r="E311" s="1">
        <v>207.4</v>
      </c>
      <c r="F311" s="1">
        <v>174.1</v>
      </c>
      <c r="G311" s="1">
        <v>159.19999999999999</v>
      </c>
      <c r="H311" s="1">
        <v>175</v>
      </c>
      <c r="I311" s="1">
        <v>161.30000000000001</v>
      </c>
      <c r="J311" s="1">
        <v>183.3</v>
      </c>
      <c r="K311" s="1">
        <v>164.5</v>
      </c>
      <c r="L311" s="1">
        <v>120.4</v>
      </c>
      <c r="M311" s="1">
        <v>166.2</v>
      </c>
      <c r="N311" s="1">
        <v>154.80000000000001</v>
      </c>
      <c r="O311" s="1">
        <v>175.1</v>
      </c>
      <c r="P311" s="1">
        <v>167.3</v>
      </c>
      <c r="Q311" s="1">
        <v>196.5</v>
      </c>
      <c r="R311" s="1">
        <v>159.80000000000001</v>
      </c>
      <c r="S311" s="1">
        <v>143.6</v>
      </c>
      <c r="T311" s="1">
        <v>157.30000000000001</v>
      </c>
      <c r="U311" s="1" t="s">
        <v>144</v>
      </c>
      <c r="V311" s="1">
        <v>160.69999999999999</v>
      </c>
      <c r="W311" s="1">
        <v>153.19999999999999</v>
      </c>
      <c r="X311" s="1">
        <v>162.80000000000001</v>
      </c>
      <c r="Y311" s="1">
        <v>150.4</v>
      </c>
      <c r="Z311" s="1">
        <v>153.69999999999999</v>
      </c>
      <c r="AA311" s="1">
        <v>160.4</v>
      </c>
      <c r="AB311" s="1">
        <v>159.6</v>
      </c>
      <c r="AC311" s="1">
        <v>156</v>
      </c>
      <c r="AD311" s="1">
        <v>162.30000000000001</v>
      </c>
    </row>
    <row r="312" spans="1:30" x14ac:dyDescent="0.3">
      <c r="A312" s="1" t="s">
        <v>34</v>
      </c>
      <c r="B312" s="1">
        <v>2021</v>
      </c>
      <c r="C312" s="1" t="s">
        <v>45</v>
      </c>
      <c r="D312" s="1">
        <v>146.6</v>
      </c>
      <c r="E312" s="1">
        <v>204</v>
      </c>
      <c r="F312" s="1">
        <v>172.8</v>
      </c>
      <c r="G312" s="1">
        <v>158.4</v>
      </c>
      <c r="H312" s="1">
        <v>188</v>
      </c>
      <c r="I312" s="1">
        <v>156.80000000000001</v>
      </c>
      <c r="J312" s="1">
        <v>162.19999999999999</v>
      </c>
      <c r="K312" s="1">
        <v>164.1</v>
      </c>
      <c r="L312" s="1">
        <v>119.7</v>
      </c>
      <c r="M312" s="1">
        <v>168.8</v>
      </c>
      <c r="N312" s="1">
        <v>162.69999999999999</v>
      </c>
      <c r="O312" s="1">
        <v>173.9</v>
      </c>
      <c r="P312" s="1">
        <v>164</v>
      </c>
      <c r="Q312" s="1">
        <v>192.1</v>
      </c>
      <c r="R312" s="1">
        <v>164.5</v>
      </c>
      <c r="S312" s="1">
        <v>155.30000000000001</v>
      </c>
      <c r="T312" s="1">
        <v>163.19999999999999</v>
      </c>
      <c r="U312" s="1" t="s">
        <v>144</v>
      </c>
      <c r="V312" s="1">
        <v>162.6</v>
      </c>
      <c r="W312" s="1">
        <v>157.5</v>
      </c>
      <c r="X312" s="1">
        <v>168.4</v>
      </c>
      <c r="Y312" s="1">
        <v>154</v>
      </c>
      <c r="Z312" s="1">
        <v>157.6</v>
      </c>
      <c r="AA312" s="1">
        <v>163.80000000000001</v>
      </c>
      <c r="AB312" s="1">
        <v>160</v>
      </c>
      <c r="AC312" s="1">
        <v>160</v>
      </c>
      <c r="AD312" s="1">
        <v>163.19999999999999</v>
      </c>
    </row>
    <row r="313" spans="1:30" x14ac:dyDescent="0.3">
      <c r="A313" s="1" t="s">
        <v>30</v>
      </c>
      <c r="B313" s="1">
        <v>2021</v>
      </c>
      <c r="C313" s="1" t="s">
        <v>47</v>
      </c>
      <c r="D313" s="1">
        <v>145.4</v>
      </c>
      <c r="E313" s="1">
        <v>202.1</v>
      </c>
      <c r="F313" s="1">
        <v>172</v>
      </c>
      <c r="G313" s="1">
        <v>158</v>
      </c>
      <c r="H313" s="1">
        <v>195.5</v>
      </c>
      <c r="I313" s="1">
        <v>152.69999999999999</v>
      </c>
      <c r="J313" s="1">
        <v>151.4</v>
      </c>
      <c r="K313" s="1">
        <v>163.9</v>
      </c>
      <c r="L313" s="1">
        <v>119.3</v>
      </c>
      <c r="M313" s="1">
        <v>170.1</v>
      </c>
      <c r="N313" s="1">
        <v>168.3</v>
      </c>
      <c r="O313" s="1">
        <v>172.8</v>
      </c>
      <c r="P313" s="1">
        <v>162.1</v>
      </c>
      <c r="Q313" s="1">
        <v>190.5</v>
      </c>
      <c r="R313" s="1">
        <v>167.7</v>
      </c>
      <c r="S313" s="1">
        <v>163.6</v>
      </c>
      <c r="T313" s="1">
        <v>167.1</v>
      </c>
      <c r="U313" s="1" t="s">
        <v>144</v>
      </c>
      <c r="V313" s="1">
        <v>163.69999999999999</v>
      </c>
      <c r="W313" s="1">
        <v>161.30000000000001</v>
      </c>
      <c r="X313" s="1">
        <v>171.9</v>
      </c>
      <c r="Y313" s="1">
        <v>157.80000000000001</v>
      </c>
      <c r="Z313" s="1">
        <v>162.69999999999999</v>
      </c>
      <c r="AA313" s="1">
        <v>168.5</v>
      </c>
      <c r="AB313" s="1">
        <v>160.19999999999999</v>
      </c>
      <c r="AC313" s="1">
        <v>163.80000000000001</v>
      </c>
      <c r="AD313" s="1">
        <v>164</v>
      </c>
    </row>
    <row r="314" spans="1:30" x14ac:dyDescent="0.3">
      <c r="A314" s="1" t="s">
        <v>32</v>
      </c>
      <c r="B314" s="1">
        <v>2021</v>
      </c>
      <c r="C314" s="1" t="s">
        <v>47</v>
      </c>
      <c r="D314" s="1">
        <v>149.30000000000001</v>
      </c>
      <c r="E314" s="1">
        <v>207.4</v>
      </c>
      <c r="F314" s="1">
        <v>174.1</v>
      </c>
      <c r="G314" s="1">
        <v>159.1</v>
      </c>
      <c r="H314" s="1">
        <v>175</v>
      </c>
      <c r="I314" s="1">
        <v>161.19999999999999</v>
      </c>
      <c r="J314" s="1">
        <v>183.5</v>
      </c>
      <c r="K314" s="1">
        <v>164.5</v>
      </c>
      <c r="L314" s="1">
        <v>120.4</v>
      </c>
      <c r="M314" s="1">
        <v>166.2</v>
      </c>
      <c r="N314" s="1">
        <v>154.80000000000001</v>
      </c>
      <c r="O314" s="1">
        <v>175.1</v>
      </c>
      <c r="P314" s="1">
        <v>167.3</v>
      </c>
      <c r="Q314" s="1">
        <v>196.5</v>
      </c>
      <c r="R314" s="1">
        <v>159.80000000000001</v>
      </c>
      <c r="S314" s="1">
        <v>143.6</v>
      </c>
      <c r="T314" s="1">
        <v>157.4</v>
      </c>
      <c r="U314" s="1" t="s">
        <v>144</v>
      </c>
      <c r="V314" s="1">
        <v>160.80000000000001</v>
      </c>
      <c r="W314" s="1">
        <v>153.30000000000001</v>
      </c>
      <c r="X314" s="1">
        <v>162.80000000000001</v>
      </c>
      <c r="Y314" s="1">
        <v>150.5</v>
      </c>
      <c r="Z314" s="1">
        <v>153.9</v>
      </c>
      <c r="AA314" s="1">
        <v>160.30000000000001</v>
      </c>
      <c r="AB314" s="1">
        <v>159.6</v>
      </c>
      <c r="AC314" s="1">
        <v>156</v>
      </c>
      <c r="AD314" s="1">
        <v>162.30000000000001</v>
      </c>
    </row>
    <row r="315" spans="1:30" x14ac:dyDescent="0.3">
      <c r="A315" s="1" t="s">
        <v>34</v>
      </c>
      <c r="B315" s="1">
        <v>2021</v>
      </c>
      <c r="C315" s="1" t="s">
        <v>47</v>
      </c>
      <c r="D315" s="1">
        <v>146.6</v>
      </c>
      <c r="E315" s="1">
        <v>204</v>
      </c>
      <c r="F315" s="1">
        <v>172.8</v>
      </c>
      <c r="G315" s="1">
        <v>158.4</v>
      </c>
      <c r="H315" s="1">
        <v>188</v>
      </c>
      <c r="I315" s="1">
        <v>156.69999999999999</v>
      </c>
      <c r="J315" s="1">
        <v>162.30000000000001</v>
      </c>
      <c r="K315" s="1">
        <v>164.1</v>
      </c>
      <c r="L315" s="1">
        <v>119.7</v>
      </c>
      <c r="M315" s="1">
        <v>168.8</v>
      </c>
      <c r="N315" s="1">
        <v>162.69999999999999</v>
      </c>
      <c r="O315" s="1">
        <v>173.9</v>
      </c>
      <c r="P315" s="1">
        <v>164</v>
      </c>
      <c r="Q315" s="1">
        <v>192.1</v>
      </c>
      <c r="R315" s="1">
        <v>164.6</v>
      </c>
      <c r="S315" s="1">
        <v>155.30000000000001</v>
      </c>
      <c r="T315" s="1">
        <v>163.30000000000001</v>
      </c>
      <c r="U315" s="1" t="s">
        <v>144</v>
      </c>
      <c r="V315" s="1">
        <v>162.6</v>
      </c>
      <c r="W315" s="1">
        <v>157.5</v>
      </c>
      <c r="X315" s="1">
        <v>168.4</v>
      </c>
      <c r="Y315" s="1">
        <v>154</v>
      </c>
      <c r="Z315" s="1">
        <v>157.69999999999999</v>
      </c>
      <c r="AA315" s="1">
        <v>163.69999999999999</v>
      </c>
      <c r="AB315" s="1">
        <v>160</v>
      </c>
      <c r="AC315" s="1">
        <v>160</v>
      </c>
      <c r="AD315" s="1">
        <v>163.19999999999999</v>
      </c>
    </row>
    <row r="316" spans="1:30" x14ac:dyDescent="0.3">
      <c r="A316" s="1" t="s">
        <v>30</v>
      </c>
      <c r="B316" s="1">
        <v>2021</v>
      </c>
      <c r="C316" s="1" t="s">
        <v>49</v>
      </c>
      <c r="D316" s="1">
        <v>146.1</v>
      </c>
      <c r="E316" s="1">
        <v>202.5</v>
      </c>
      <c r="F316" s="1">
        <v>170.1</v>
      </c>
      <c r="G316" s="1">
        <v>158.4</v>
      </c>
      <c r="H316" s="1">
        <v>198.8</v>
      </c>
      <c r="I316" s="1">
        <v>152.6</v>
      </c>
      <c r="J316" s="1">
        <v>170.4</v>
      </c>
      <c r="K316" s="1">
        <v>165.2</v>
      </c>
      <c r="L316" s="1">
        <v>121.6</v>
      </c>
      <c r="M316" s="1">
        <v>170.6</v>
      </c>
      <c r="N316" s="1">
        <v>168.8</v>
      </c>
      <c r="O316" s="1">
        <v>173.6</v>
      </c>
      <c r="P316" s="1">
        <v>165.5</v>
      </c>
      <c r="Q316" s="1">
        <v>191.2</v>
      </c>
      <c r="R316" s="1">
        <v>168.9</v>
      </c>
      <c r="S316" s="1">
        <v>164.8</v>
      </c>
      <c r="T316" s="1">
        <v>168.3</v>
      </c>
      <c r="U316" s="1" t="s">
        <v>145</v>
      </c>
      <c r="V316" s="1">
        <v>165.5</v>
      </c>
      <c r="W316" s="1">
        <v>162</v>
      </c>
      <c r="X316" s="1">
        <v>172.5</v>
      </c>
      <c r="Y316" s="1">
        <v>159.5</v>
      </c>
      <c r="Z316" s="1">
        <v>163.19999999999999</v>
      </c>
      <c r="AA316" s="1">
        <v>169</v>
      </c>
      <c r="AB316" s="1">
        <v>161.1</v>
      </c>
      <c r="AC316" s="1">
        <v>164.7</v>
      </c>
      <c r="AD316" s="1">
        <v>166.3</v>
      </c>
    </row>
    <row r="317" spans="1:30" x14ac:dyDescent="0.3">
      <c r="A317" s="1" t="s">
        <v>32</v>
      </c>
      <c r="B317" s="1">
        <v>2021</v>
      </c>
      <c r="C317" s="1" t="s">
        <v>49</v>
      </c>
      <c r="D317" s="1">
        <v>150.1</v>
      </c>
      <c r="E317" s="1">
        <v>208.4</v>
      </c>
      <c r="F317" s="1">
        <v>173</v>
      </c>
      <c r="G317" s="1">
        <v>159.19999999999999</v>
      </c>
      <c r="H317" s="1">
        <v>176.6</v>
      </c>
      <c r="I317" s="1">
        <v>159.30000000000001</v>
      </c>
      <c r="J317" s="1">
        <v>214.4</v>
      </c>
      <c r="K317" s="1">
        <v>165.3</v>
      </c>
      <c r="L317" s="1">
        <v>122.5</v>
      </c>
      <c r="M317" s="1">
        <v>166.8</v>
      </c>
      <c r="N317" s="1">
        <v>155.4</v>
      </c>
      <c r="O317" s="1">
        <v>175.9</v>
      </c>
      <c r="P317" s="1">
        <v>171.5</v>
      </c>
      <c r="Q317" s="1">
        <v>197</v>
      </c>
      <c r="R317" s="1">
        <v>160.80000000000001</v>
      </c>
      <c r="S317" s="1">
        <v>144.4</v>
      </c>
      <c r="T317" s="1">
        <v>158.30000000000001</v>
      </c>
      <c r="U317" s="1" t="s">
        <v>145</v>
      </c>
      <c r="V317" s="1">
        <v>162.19999999999999</v>
      </c>
      <c r="W317" s="1">
        <v>154.30000000000001</v>
      </c>
      <c r="X317" s="1">
        <v>163.5</v>
      </c>
      <c r="Y317" s="1">
        <v>152.19999999999999</v>
      </c>
      <c r="Z317" s="1">
        <v>155.1</v>
      </c>
      <c r="AA317" s="1">
        <v>160.30000000000001</v>
      </c>
      <c r="AB317" s="1">
        <v>160.30000000000001</v>
      </c>
      <c r="AC317" s="1">
        <v>157</v>
      </c>
      <c r="AD317" s="1">
        <v>164.6</v>
      </c>
    </row>
    <row r="318" spans="1:30" x14ac:dyDescent="0.3">
      <c r="A318" s="1" t="s">
        <v>34</v>
      </c>
      <c r="B318" s="1">
        <v>2021</v>
      </c>
      <c r="C318" s="1" t="s">
        <v>49</v>
      </c>
      <c r="D318" s="1">
        <v>147.4</v>
      </c>
      <c r="E318" s="1">
        <v>204.6</v>
      </c>
      <c r="F318" s="1">
        <v>171.2</v>
      </c>
      <c r="G318" s="1">
        <v>158.69999999999999</v>
      </c>
      <c r="H318" s="1">
        <v>190.6</v>
      </c>
      <c r="I318" s="1">
        <v>155.69999999999999</v>
      </c>
      <c r="J318" s="1">
        <v>185.3</v>
      </c>
      <c r="K318" s="1">
        <v>165.2</v>
      </c>
      <c r="L318" s="1">
        <v>121.9</v>
      </c>
      <c r="M318" s="1">
        <v>169.3</v>
      </c>
      <c r="N318" s="1">
        <v>163.19999999999999</v>
      </c>
      <c r="O318" s="1">
        <v>174.7</v>
      </c>
      <c r="P318" s="1">
        <v>167.7</v>
      </c>
      <c r="Q318" s="1">
        <v>192.7</v>
      </c>
      <c r="R318" s="1">
        <v>165.7</v>
      </c>
      <c r="S318" s="1">
        <v>156.30000000000001</v>
      </c>
      <c r="T318" s="1">
        <v>164.3</v>
      </c>
      <c r="U318" s="1" t="s">
        <v>145</v>
      </c>
      <c r="V318" s="1">
        <v>164.2</v>
      </c>
      <c r="W318" s="1">
        <v>158.4</v>
      </c>
      <c r="X318" s="1">
        <v>169.1</v>
      </c>
      <c r="Y318" s="1">
        <v>155.69999999999999</v>
      </c>
      <c r="Z318" s="1">
        <v>158.6</v>
      </c>
      <c r="AA318" s="1">
        <v>163.9</v>
      </c>
      <c r="AB318" s="1">
        <v>160.80000000000001</v>
      </c>
      <c r="AC318" s="1">
        <v>161</v>
      </c>
      <c r="AD318" s="1">
        <v>165.5</v>
      </c>
    </row>
    <row r="319" spans="1:30" x14ac:dyDescent="0.3">
      <c r="A319" s="1" t="s">
        <v>30</v>
      </c>
      <c r="B319" s="1">
        <v>2021</v>
      </c>
      <c r="C319" s="1" t="s">
        <v>52</v>
      </c>
      <c r="D319" s="1">
        <v>146.9</v>
      </c>
      <c r="E319" s="1">
        <v>199.8</v>
      </c>
      <c r="F319" s="1">
        <v>171.5</v>
      </c>
      <c r="G319" s="1">
        <v>159.1</v>
      </c>
      <c r="H319" s="1">
        <v>198.4</v>
      </c>
      <c r="I319" s="1">
        <v>153.19999999999999</v>
      </c>
      <c r="J319" s="1">
        <v>183.9</v>
      </c>
      <c r="K319" s="1">
        <v>165.4</v>
      </c>
      <c r="L319" s="1">
        <v>122.1</v>
      </c>
      <c r="M319" s="1">
        <v>170.8</v>
      </c>
      <c r="N319" s="1">
        <v>169.1</v>
      </c>
      <c r="O319" s="1">
        <v>174.3</v>
      </c>
      <c r="P319" s="1">
        <v>167.5</v>
      </c>
      <c r="Q319" s="1">
        <v>191.4</v>
      </c>
      <c r="R319" s="1">
        <v>170.4</v>
      </c>
      <c r="S319" s="1">
        <v>166</v>
      </c>
      <c r="T319" s="1">
        <v>169.8</v>
      </c>
      <c r="U319" s="1" t="s">
        <v>146</v>
      </c>
      <c r="V319" s="1">
        <v>165.3</v>
      </c>
      <c r="W319" s="1">
        <v>162.9</v>
      </c>
      <c r="X319" s="1">
        <v>173.4</v>
      </c>
      <c r="Y319" s="1">
        <v>158.9</v>
      </c>
      <c r="Z319" s="1">
        <v>163.80000000000001</v>
      </c>
      <c r="AA319" s="1">
        <v>169.3</v>
      </c>
      <c r="AB319" s="1">
        <v>162.4</v>
      </c>
      <c r="AC319" s="1">
        <v>165.2</v>
      </c>
      <c r="AD319" s="1">
        <v>167.6</v>
      </c>
    </row>
    <row r="320" spans="1:30" x14ac:dyDescent="0.3">
      <c r="A320" s="1" t="s">
        <v>32</v>
      </c>
      <c r="B320" s="1">
        <v>2021</v>
      </c>
      <c r="C320" s="1" t="s">
        <v>52</v>
      </c>
      <c r="D320" s="1">
        <v>151</v>
      </c>
      <c r="E320" s="1">
        <v>204.9</v>
      </c>
      <c r="F320" s="1">
        <v>175.4</v>
      </c>
      <c r="G320" s="1">
        <v>159.6</v>
      </c>
      <c r="H320" s="1">
        <v>175.8</v>
      </c>
      <c r="I320" s="1">
        <v>160.30000000000001</v>
      </c>
      <c r="J320" s="1">
        <v>229.1</v>
      </c>
      <c r="K320" s="1">
        <v>165.1</v>
      </c>
      <c r="L320" s="1">
        <v>123.1</v>
      </c>
      <c r="M320" s="1">
        <v>167.2</v>
      </c>
      <c r="N320" s="1">
        <v>156.1</v>
      </c>
      <c r="O320" s="1">
        <v>176.8</v>
      </c>
      <c r="P320" s="1">
        <v>173.5</v>
      </c>
      <c r="Q320" s="1">
        <v>197</v>
      </c>
      <c r="R320" s="1">
        <v>162.30000000000001</v>
      </c>
      <c r="S320" s="1">
        <v>145.30000000000001</v>
      </c>
      <c r="T320" s="1">
        <v>159.69999999999999</v>
      </c>
      <c r="U320" s="1" t="s">
        <v>146</v>
      </c>
      <c r="V320" s="1">
        <v>161.6</v>
      </c>
      <c r="W320" s="1">
        <v>155.19999999999999</v>
      </c>
      <c r="X320" s="1">
        <v>164.2</v>
      </c>
      <c r="Y320" s="1">
        <v>151.19999999999999</v>
      </c>
      <c r="Z320" s="1">
        <v>156.69999999999999</v>
      </c>
      <c r="AA320" s="1">
        <v>160.80000000000001</v>
      </c>
      <c r="AB320" s="1">
        <v>161.80000000000001</v>
      </c>
      <c r="AC320" s="1">
        <v>157.30000000000001</v>
      </c>
      <c r="AD320" s="1">
        <v>165.6</v>
      </c>
    </row>
    <row r="321" spans="1:30" x14ac:dyDescent="0.3">
      <c r="A321" s="1" t="s">
        <v>34</v>
      </c>
      <c r="B321" s="1">
        <v>2021</v>
      </c>
      <c r="C321" s="1" t="s">
        <v>52</v>
      </c>
      <c r="D321" s="1">
        <v>148.19999999999999</v>
      </c>
      <c r="E321" s="1">
        <v>201.6</v>
      </c>
      <c r="F321" s="1">
        <v>173</v>
      </c>
      <c r="G321" s="1">
        <v>159.30000000000001</v>
      </c>
      <c r="H321" s="1">
        <v>190.1</v>
      </c>
      <c r="I321" s="1">
        <v>156.5</v>
      </c>
      <c r="J321" s="1">
        <v>199.2</v>
      </c>
      <c r="K321" s="1">
        <v>165.3</v>
      </c>
      <c r="L321" s="1">
        <v>122.4</v>
      </c>
      <c r="M321" s="1">
        <v>169.6</v>
      </c>
      <c r="N321" s="1">
        <v>163.69999999999999</v>
      </c>
      <c r="O321" s="1">
        <v>175.5</v>
      </c>
      <c r="P321" s="1">
        <v>169.7</v>
      </c>
      <c r="Q321" s="1">
        <v>192.9</v>
      </c>
      <c r="R321" s="1">
        <v>167.2</v>
      </c>
      <c r="S321" s="1">
        <v>157.4</v>
      </c>
      <c r="T321" s="1">
        <v>165.8</v>
      </c>
      <c r="U321" s="1" t="s">
        <v>146</v>
      </c>
      <c r="V321" s="1">
        <v>163.9</v>
      </c>
      <c r="W321" s="1">
        <v>159.30000000000001</v>
      </c>
      <c r="X321" s="1">
        <v>169.9</v>
      </c>
      <c r="Y321" s="1">
        <v>154.80000000000001</v>
      </c>
      <c r="Z321" s="1">
        <v>159.80000000000001</v>
      </c>
      <c r="AA321" s="1">
        <v>164.3</v>
      </c>
      <c r="AB321" s="1">
        <v>162.19999999999999</v>
      </c>
      <c r="AC321" s="1">
        <v>161.4</v>
      </c>
      <c r="AD321" s="1">
        <v>166.7</v>
      </c>
    </row>
    <row r="322" spans="1:30" x14ac:dyDescent="0.3">
      <c r="A322" s="1" t="s">
        <v>30</v>
      </c>
      <c r="B322" s="1">
        <v>2021</v>
      </c>
      <c r="C322" s="1" t="s">
        <v>54</v>
      </c>
      <c r="D322" s="1">
        <v>147.4</v>
      </c>
      <c r="E322" s="1">
        <v>197</v>
      </c>
      <c r="F322" s="1">
        <v>176.5</v>
      </c>
      <c r="G322" s="1">
        <v>159.80000000000001</v>
      </c>
      <c r="H322" s="1">
        <v>195.8</v>
      </c>
      <c r="I322" s="1">
        <v>152</v>
      </c>
      <c r="J322" s="1">
        <v>172.3</v>
      </c>
      <c r="K322" s="1">
        <v>164.5</v>
      </c>
      <c r="L322" s="1">
        <v>120.6</v>
      </c>
      <c r="M322" s="1">
        <v>171.7</v>
      </c>
      <c r="N322" s="1">
        <v>169.7</v>
      </c>
      <c r="O322" s="1">
        <v>175.1</v>
      </c>
      <c r="P322" s="1">
        <v>165.8</v>
      </c>
      <c r="Q322" s="1">
        <v>190.8</v>
      </c>
      <c r="R322" s="1">
        <v>171.8</v>
      </c>
      <c r="S322" s="1">
        <v>167.3</v>
      </c>
      <c r="T322" s="1">
        <v>171.2</v>
      </c>
      <c r="U322" s="1" t="s">
        <v>147</v>
      </c>
      <c r="V322" s="1">
        <v>165.6</v>
      </c>
      <c r="W322" s="1">
        <v>163.9</v>
      </c>
      <c r="X322" s="1">
        <v>174</v>
      </c>
      <c r="Y322" s="1">
        <v>160.1</v>
      </c>
      <c r="Z322" s="1">
        <v>164.5</v>
      </c>
      <c r="AA322" s="1">
        <v>169.7</v>
      </c>
      <c r="AB322" s="1">
        <v>162.80000000000001</v>
      </c>
      <c r="AC322" s="1">
        <v>166</v>
      </c>
      <c r="AD322" s="1">
        <v>167</v>
      </c>
    </row>
    <row r="323" spans="1:30" x14ac:dyDescent="0.3">
      <c r="A323" s="1" t="s">
        <v>32</v>
      </c>
      <c r="B323" s="1">
        <v>2021</v>
      </c>
      <c r="C323" s="1" t="s">
        <v>54</v>
      </c>
      <c r="D323" s="1">
        <v>151.6</v>
      </c>
      <c r="E323" s="1">
        <v>202.2</v>
      </c>
      <c r="F323" s="1">
        <v>180</v>
      </c>
      <c r="G323" s="1">
        <v>160</v>
      </c>
      <c r="H323" s="1">
        <v>173.5</v>
      </c>
      <c r="I323" s="1">
        <v>158.30000000000001</v>
      </c>
      <c r="J323" s="1">
        <v>219.5</v>
      </c>
      <c r="K323" s="1">
        <v>164.2</v>
      </c>
      <c r="L323" s="1">
        <v>121.9</v>
      </c>
      <c r="M323" s="1">
        <v>168.2</v>
      </c>
      <c r="N323" s="1">
        <v>156.5</v>
      </c>
      <c r="O323" s="1">
        <v>178.2</v>
      </c>
      <c r="P323" s="1">
        <v>172.2</v>
      </c>
      <c r="Q323" s="1">
        <v>196.8</v>
      </c>
      <c r="R323" s="1">
        <v>163.30000000000001</v>
      </c>
      <c r="S323" s="1">
        <v>146.69999999999999</v>
      </c>
      <c r="T323" s="1">
        <v>160.69999999999999</v>
      </c>
      <c r="U323" s="1" t="s">
        <v>147</v>
      </c>
      <c r="V323" s="1">
        <v>161.69999999999999</v>
      </c>
      <c r="W323" s="1">
        <v>156</v>
      </c>
      <c r="X323" s="1">
        <v>165.1</v>
      </c>
      <c r="Y323" s="1">
        <v>151.80000000000001</v>
      </c>
      <c r="Z323" s="1">
        <v>157.6</v>
      </c>
      <c r="AA323" s="1">
        <v>160.6</v>
      </c>
      <c r="AB323" s="1">
        <v>162.4</v>
      </c>
      <c r="AC323" s="1">
        <v>157.80000000000001</v>
      </c>
      <c r="AD323" s="1">
        <v>165.2</v>
      </c>
    </row>
    <row r="324" spans="1:30" x14ac:dyDescent="0.3">
      <c r="A324" s="1" t="s">
        <v>34</v>
      </c>
      <c r="B324" s="1">
        <v>2021</v>
      </c>
      <c r="C324" s="1" t="s">
        <v>54</v>
      </c>
      <c r="D324" s="1">
        <v>148.69999999999999</v>
      </c>
      <c r="E324" s="1">
        <v>198.8</v>
      </c>
      <c r="F324" s="1">
        <v>177.9</v>
      </c>
      <c r="G324" s="1">
        <v>159.9</v>
      </c>
      <c r="H324" s="1">
        <v>187.6</v>
      </c>
      <c r="I324" s="1">
        <v>154.9</v>
      </c>
      <c r="J324" s="1">
        <v>188.3</v>
      </c>
      <c r="K324" s="1">
        <v>164.4</v>
      </c>
      <c r="L324" s="1">
        <v>121</v>
      </c>
      <c r="M324" s="1">
        <v>170.5</v>
      </c>
      <c r="N324" s="1">
        <v>164.2</v>
      </c>
      <c r="O324" s="1">
        <v>176.5</v>
      </c>
      <c r="P324" s="1">
        <v>168.2</v>
      </c>
      <c r="Q324" s="1">
        <v>192.4</v>
      </c>
      <c r="R324" s="1">
        <v>168.5</v>
      </c>
      <c r="S324" s="1">
        <v>158.69999999999999</v>
      </c>
      <c r="T324" s="1">
        <v>167</v>
      </c>
      <c r="U324" s="1" t="s">
        <v>147</v>
      </c>
      <c r="V324" s="1">
        <v>164.1</v>
      </c>
      <c r="W324" s="1">
        <v>160.19999999999999</v>
      </c>
      <c r="X324" s="1">
        <v>170.6</v>
      </c>
      <c r="Y324" s="1">
        <v>155.69999999999999</v>
      </c>
      <c r="Z324" s="1">
        <v>160.6</v>
      </c>
      <c r="AA324" s="1">
        <v>164.4</v>
      </c>
      <c r="AB324" s="1">
        <v>162.6</v>
      </c>
      <c r="AC324" s="1">
        <v>162</v>
      </c>
      <c r="AD324" s="1">
        <v>166.2</v>
      </c>
    </row>
    <row r="325" spans="1:30" x14ac:dyDescent="0.3">
      <c r="A325" s="1" t="s">
        <v>30</v>
      </c>
      <c r="B325" s="1">
        <v>2022</v>
      </c>
      <c r="C325" s="1" t="s">
        <v>31</v>
      </c>
      <c r="D325" s="1">
        <v>148.30000000000001</v>
      </c>
      <c r="E325" s="1">
        <v>196.9</v>
      </c>
      <c r="F325" s="1">
        <v>178</v>
      </c>
      <c r="G325" s="1">
        <v>160.5</v>
      </c>
      <c r="H325" s="1">
        <v>192.6</v>
      </c>
      <c r="I325" s="1">
        <v>151.19999999999999</v>
      </c>
      <c r="J325" s="1">
        <v>159.19999999999999</v>
      </c>
      <c r="K325" s="1">
        <v>164</v>
      </c>
      <c r="L325" s="1">
        <v>119.3</v>
      </c>
      <c r="M325" s="1">
        <v>173.3</v>
      </c>
      <c r="N325" s="1">
        <v>169.8</v>
      </c>
      <c r="O325" s="1">
        <v>175.8</v>
      </c>
      <c r="P325" s="1">
        <v>164.1</v>
      </c>
      <c r="Q325" s="1">
        <v>190.7</v>
      </c>
      <c r="R325" s="1">
        <v>173.2</v>
      </c>
      <c r="S325" s="1">
        <v>169.3</v>
      </c>
      <c r="T325" s="1">
        <v>172.7</v>
      </c>
      <c r="U325" s="1" t="s">
        <v>148</v>
      </c>
      <c r="V325" s="1">
        <v>165.8</v>
      </c>
      <c r="W325" s="1">
        <v>164.9</v>
      </c>
      <c r="X325" s="1">
        <v>174.7</v>
      </c>
      <c r="Y325" s="1">
        <v>160.80000000000001</v>
      </c>
      <c r="Z325" s="1">
        <v>164.9</v>
      </c>
      <c r="AA325" s="1">
        <v>169.9</v>
      </c>
      <c r="AB325" s="1">
        <v>163.19999999999999</v>
      </c>
      <c r="AC325" s="1">
        <v>166.6</v>
      </c>
      <c r="AD325" s="1">
        <v>166.4</v>
      </c>
    </row>
    <row r="326" spans="1:30" x14ac:dyDescent="0.3">
      <c r="A326" s="1" t="s">
        <v>32</v>
      </c>
      <c r="B326" s="1">
        <v>2022</v>
      </c>
      <c r="C326" s="1" t="s">
        <v>31</v>
      </c>
      <c r="D326" s="1">
        <v>152.19999999999999</v>
      </c>
      <c r="E326" s="1">
        <v>202.1</v>
      </c>
      <c r="F326" s="1">
        <v>180.1</v>
      </c>
      <c r="G326" s="1">
        <v>160.4</v>
      </c>
      <c r="H326" s="1">
        <v>171</v>
      </c>
      <c r="I326" s="1">
        <v>156.5</v>
      </c>
      <c r="J326" s="1">
        <v>203.6</v>
      </c>
      <c r="K326" s="1">
        <v>163.80000000000001</v>
      </c>
      <c r="L326" s="1">
        <v>121.3</v>
      </c>
      <c r="M326" s="1">
        <v>169.8</v>
      </c>
      <c r="N326" s="1">
        <v>156.6</v>
      </c>
      <c r="O326" s="1">
        <v>179</v>
      </c>
      <c r="P326" s="1">
        <v>170.3</v>
      </c>
      <c r="Q326" s="1">
        <v>196.4</v>
      </c>
      <c r="R326" s="1">
        <v>164.7</v>
      </c>
      <c r="S326" s="1">
        <v>148.5</v>
      </c>
      <c r="T326" s="1">
        <v>162.19999999999999</v>
      </c>
      <c r="U326" s="1" t="s">
        <v>148</v>
      </c>
      <c r="V326" s="1">
        <v>161.6</v>
      </c>
      <c r="W326" s="1">
        <v>156.80000000000001</v>
      </c>
      <c r="X326" s="1">
        <v>166.1</v>
      </c>
      <c r="Y326" s="1">
        <v>152.69999999999999</v>
      </c>
      <c r="Z326" s="1">
        <v>158.4</v>
      </c>
      <c r="AA326" s="1">
        <v>161</v>
      </c>
      <c r="AB326" s="1">
        <v>162.80000000000001</v>
      </c>
      <c r="AC326" s="1">
        <v>158.6</v>
      </c>
      <c r="AD326" s="1">
        <v>165</v>
      </c>
    </row>
    <row r="327" spans="1:30" x14ac:dyDescent="0.3">
      <c r="A327" s="1" t="s">
        <v>34</v>
      </c>
      <c r="B327" s="1">
        <v>2022</v>
      </c>
      <c r="C327" s="1" t="s">
        <v>31</v>
      </c>
      <c r="D327" s="1">
        <v>149.5</v>
      </c>
      <c r="E327" s="1">
        <v>198.7</v>
      </c>
      <c r="F327" s="1">
        <v>178.8</v>
      </c>
      <c r="G327" s="1">
        <v>160.5</v>
      </c>
      <c r="H327" s="1">
        <v>184.7</v>
      </c>
      <c r="I327" s="1">
        <v>153.69999999999999</v>
      </c>
      <c r="J327" s="1">
        <v>174.3</v>
      </c>
      <c r="K327" s="1">
        <v>163.9</v>
      </c>
      <c r="L327" s="1">
        <v>120</v>
      </c>
      <c r="M327" s="1">
        <v>172.1</v>
      </c>
      <c r="N327" s="1">
        <v>164.3</v>
      </c>
      <c r="O327" s="1">
        <v>177.3</v>
      </c>
      <c r="P327" s="1">
        <v>166.4</v>
      </c>
      <c r="Q327" s="1">
        <v>192.2</v>
      </c>
      <c r="R327" s="1">
        <v>169.9</v>
      </c>
      <c r="S327" s="1">
        <v>160.69999999999999</v>
      </c>
      <c r="T327" s="1">
        <v>168.5</v>
      </c>
      <c r="U327" s="1" t="s">
        <v>148</v>
      </c>
      <c r="V327" s="1">
        <v>164.2</v>
      </c>
      <c r="W327" s="1">
        <v>161.1</v>
      </c>
      <c r="X327" s="1">
        <v>171.4</v>
      </c>
      <c r="Y327" s="1">
        <v>156.5</v>
      </c>
      <c r="Z327" s="1">
        <v>161.19999999999999</v>
      </c>
      <c r="AA327" s="1">
        <v>164.7</v>
      </c>
      <c r="AB327" s="1">
        <v>163</v>
      </c>
      <c r="AC327" s="1">
        <v>162.69999999999999</v>
      </c>
      <c r="AD327" s="1">
        <v>165.7</v>
      </c>
    </row>
    <row r="328" spans="1:30" x14ac:dyDescent="0.3">
      <c r="A328" s="1" t="s">
        <v>30</v>
      </c>
      <c r="B328" s="1">
        <v>2022</v>
      </c>
      <c r="C328" s="1" t="s">
        <v>35</v>
      </c>
      <c r="D328" s="1">
        <v>148.80000000000001</v>
      </c>
      <c r="E328" s="1">
        <v>198.1</v>
      </c>
      <c r="F328" s="1">
        <v>175.5</v>
      </c>
      <c r="G328" s="1">
        <v>160.69999999999999</v>
      </c>
      <c r="H328" s="1">
        <v>192.6</v>
      </c>
      <c r="I328" s="1">
        <v>151.4</v>
      </c>
      <c r="J328" s="1">
        <v>155.19999999999999</v>
      </c>
      <c r="K328" s="1">
        <v>163.9</v>
      </c>
      <c r="L328" s="1">
        <v>118.1</v>
      </c>
      <c r="M328" s="1">
        <v>175.4</v>
      </c>
      <c r="N328" s="1">
        <v>170.5</v>
      </c>
      <c r="O328" s="1">
        <v>176.3</v>
      </c>
      <c r="P328" s="1">
        <v>163.9</v>
      </c>
      <c r="Q328" s="1">
        <v>191.5</v>
      </c>
      <c r="R328" s="1">
        <v>174.1</v>
      </c>
      <c r="S328" s="1">
        <v>171</v>
      </c>
      <c r="T328" s="1">
        <v>173.7</v>
      </c>
      <c r="U328" s="1" t="s">
        <v>149</v>
      </c>
      <c r="V328" s="1">
        <v>167.4</v>
      </c>
      <c r="W328" s="1">
        <v>165.7</v>
      </c>
      <c r="X328" s="1">
        <v>175.3</v>
      </c>
      <c r="Y328" s="1">
        <v>161.19999999999999</v>
      </c>
      <c r="Z328" s="1">
        <v>165.5</v>
      </c>
      <c r="AA328" s="1">
        <v>170.3</v>
      </c>
      <c r="AB328" s="1">
        <v>164.5</v>
      </c>
      <c r="AC328" s="1">
        <v>167.3</v>
      </c>
      <c r="AD328" s="1">
        <v>166.7</v>
      </c>
    </row>
    <row r="329" spans="1:30" x14ac:dyDescent="0.3">
      <c r="A329" s="1" t="s">
        <v>32</v>
      </c>
      <c r="B329" s="1">
        <v>2022</v>
      </c>
      <c r="C329" s="1" t="s">
        <v>35</v>
      </c>
      <c r="D329" s="1">
        <v>152.5</v>
      </c>
      <c r="E329" s="1">
        <v>205.2</v>
      </c>
      <c r="F329" s="1">
        <v>176.4</v>
      </c>
      <c r="G329" s="1">
        <v>160.6</v>
      </c>
      <c r="H329" s="1">
        <v>171.5</v>
      </c>
      <c r="I329" s="1">
        <v>156.4</v>
      </c>
      <c r="J329" s="1">
        <v>198</v>
      </c>
      <c r="K329" s="1">
        <v>163.19999999999999</v>
      </c>
      <c r="L329" s="1">
        <v>120.6</v>
      </c>
      <c r="M329" s="1">
        <v>172.2</v>
      </c>
      <c r="N329" s="1">
        <v>156.69999999999999</v>
      </c>
      <c r="O329" s="1">
        <v>180</v>
      </c>
      <c r="P329" s="1">
        <v>170.2</v>
      </c>
      <c r="Q329" s="1">
        <v>196.5</v>
      </c>
      <c r="R329" s="1">
        <v>165.7</v>
      </c>
      <c r="S329" s="1">
        <v>150.4</v>
      </c>
      <c r="T329" s="1">
        <v>163.4</v>
      </c>
      <c r="U329" s="1" t="s">
        <v>149</v>
      </c>
      <c r="V329" s="1">
        <v>163</v>
      </c>
      <c r="W329" s="1">
        <v>157.4</v>
      </c>
      <c r="X329" s="1">
        <v>167.2</v>
      </c>
      <c r="Y329" s="1">
        <v>153.1</v>
      </c>
      <c r="Z329" s="1">
        <v>159.5</v>
      </c>
      <c r="AA329" s="1">
        <v>162</v>
      </c>
      <c r="AB329" s="1">
        <v>164.2</v>
      </c>
      <c r="AC329" s="1">
        <v>159.4</v>
      </c>
      <c r="AD329" s="1">
        <v>165.5</v>
      </c>
    </row>
    <row r="330" spans="1:30" x14ac:dyDescent="0.3">
      <c r="A330" s="1" t="s">
        <v>34</v>
      </c>
      <c r="B330" s="1">
        <v>2022</v>
      </c>
      <c r="C330" s="1" t="s">
        <v>35</v>
      </c>
      <c r="D330" s="1">
        <v>150</v>
      </c>
      <c r="E330" s="1">
        <v>200.6</v>
      </c>
      <c r="F330" s="1">
        <v>175.8</v>
      </c>
      <c r="G330" s="1">
        <v>160.69999999999999</v>
      </c>
      <c r="H330" s="1">
        <v>184.9</v>
      </c>
      <c r="I330" s="1">
        <v>153.69999999999999</v>
      </c>
      <c r="J330" s="1">
        <v>169.7</v>
      </c>
      <c r="K330" s="1">
        <v>163.69999999999999</v>
      </c>
      <c r="L330" s="1">
        <v>118.9</v>
      </c>
      <c r="M330" s="1">
        <v>174.3</v>
      </c>
      <c r="N330" s="1">
        <v>164.7</v>
      </c>
      <c r="O330" s="1">
        <v>178</v>
      </c>
      <c r="P330" s="1">
        <v>166.2</v>
      </c>
      <c r="Q330" s="1">
        <v>192.8</v>
      </c>
      <c r="R330" s="1">
        <v>170.8</v>
      </c>
      <c r="S330" s="1">
        <v>162.4</v>
      </c>
      <c r="T330" s="1">
        <v>169.6</v>
      </c>
      <c r="U330" s="1" t="s">
        <v>149</v>
      </c>
      <c r="V330" s="1">
        <v>165.7</v>
      </c>
      <c r="W330" s="1">
        <v>161.80000000000001</v>
      </c>
      <c r="X330" s="1">
        <v>172.2</v>
      </c>
      <c r="Y330" s="1">
        <v>156.9</v>
      </c>
      <c r="Z330" s="1">
        <v>162.1</v>
      </c>
      <c r="AA330" s="1">
        <v>165.4</v>
      </c>
      <c r="AB330" s="1">
        <v>164.4</v>
      </c>
      <c r="AC330" s="1">
        <v>163.5</v>
      </c>
      <c r="AD330" s="1">
        <v>166.1</v>
      </c>
    </row>
    <row r="331" spans="1:30" x14ac:dyDescent="0.3">
      <c r="A331" s="1" t="s">
        <v>30</v>
      </c>
      <c r="B331" s="1">
        <v>2022</v>
      </c>
      <c r="C331" s="1" t="s">
        <v>37</v>
      </c>
      <c r="D331" s="1">
        <v>150.19999999999999</v>
      </c>
      <c r="E331" s="1">
        <v>208</v>
      </c>
      <c r="F331" s="1">
        <v>167.9</v>
      </c>
      <c r="G331" s="1">
        <v>162</v>
      </c>
      <c r="H331" s="1">
        <v>203.1</v>
      </c>
      <c r="I331" s="1">
        <v>155.9</v>
      </c>
      <c r="J331" s="1">
        <v>155.80000000000001</v>
      </c>
      <c r="K331" s="1">
        <v>164.2</v>
      </c>
      <c r="L331" s="1">
        <v>118.1</v>
      </c>
      <c r="M331" s="1">
        <v>178.7</v>
      </c>
      <c r="N331" s="1">
        <v>171.2</v>
      </c>
      <c r="O331" s="1">
        <v>177.4</v>
      </c>
      <c r="P331" s="1">
        <v>166.6</v>
      </c>
      <c r="Q331" s="1">
        <v>192.3</v>
      </c>
      <c r="R331" s="1">
        <v>175.4</v>
      </c>
      <c r="S331" s="1">
        <v>173.2</v>
      </c>
      <c r="T331" s="1">
        <v>175.1</v>
      </c>
      <c r="U331" s="1" t="s">
        <v>150</v>
      </c>
      <c r="V331" s="1">
        <v>168.9</v>
      </c>
      <c r="W331" s="1">
        <v>166.5</v>
      </c>
      <c r="X331" s="1">
        <v>176</v>
      </c>
      <c r="Y331" s="1">
        <v>162</v>
      </c>
      <c r="Z331" s="1">
        <v>166.6</v>
      </c>
      <c r="AA331" s="1">
        <v>170.6</v>
      </c>
      <c r="AB331" s="1">
        <v>167.4</v>
      </c>
      <c r="AC331" s="1">
        <v>168.3</v>
      </c>
      <c r="AD331" s="1">
        <v>168.7</v>
      </c>
    </row>
    <row r="332" spans="1:30" x14ac:dyDescent="0.3">
      <c r="A332" s="1" t="s">
        <v>32</v>
      </c>
      <c r="B332" s="1">
        <v>2022</v>
      </c>
      <c r="C332" s="1" t="s">
        <v>37</v>
      </c>
      <c r="D332" s="1">
        <v>153.69999999999999</v>
      </c>
      <c r="E332" s="1">
        <v>215.8</v>
      </c>
      <c r="F332" s="1">
        <v>167.7</v>
      </c>
      <c r="G332" s="1">
        <v>162.6</v>
      </c>
      <c r="H332" s="1">
        <v>180</v>
      </c>
      <c r="I332" s="1">
        <v>159.6</v>
      </c>
      <c r="J332" s="1">
        <v>188.4</v>
      </c>
      <c r="K332" s="1">
        <v>163.4</v>
      </c>
      <c r="L332" s="1">
        <v>120.3</v>
      </c>
      <c r="M332" s="1">
        <v>174.7</v>
      </c>
      <c r="N332" s="1">
        <v>157.1</v>
      </c>
      <c r="O332" s="1">
        <v>181.5</v>
      </c>
      <c r="P332" s="1">
        <v>171.5</v>
      </c>
      <c r="Q332" s="1">
        <v>197.5</v>
      </c>
      <c r="R332" s="1">
        <v>167.1</v>
      </c>
      <c r="S332" s="1">
        <v>152.6</v>
      </c>
      <c r="T332" s="1">
        <v>164.9</v>
      </c>
      <c r="U332" s="1" t="s">
        <v>150</v>
      </c>
      <c r="V332" s="1">
        <v>164.5</v>
      </c>
      <c r="W332" s="1">
        <v>158.6</v>
      </c>
      <c r="X332" s="1">
        <v>168.2</v>
      </c>
      <c r="Y332" s="1">
        <v>154.19999999999999</v>
      </c>
      <c r="Z332" s="1">
        <v>160.80000000000001</v>
      </c>
      <c r="AA332" s="1">
        <v>162.69999999999999</v>
      </c>
      <c r="AB332" s="1">
        <v>166.8</v>
      </c>
      <c r="AC332" s="1">
        <v>160.6</v>
      </c>
      <c r="AD332" s="1">
        <v>166.5</v>
      </c>
    </row>
    <row r="333" spans="1:30" x14ac:dyDescent="0.3">
      <c r="A333" s="1" t="s">
        <v>34</v>
      </c>
      <c r="B333" s="1">
        <v>2022</v>
      </c>
      <c r="C333" s="1" t="s">
        <v>37</v>
      </c>
      <c r="D333" s="1">
        <v>151.30000000000001</v>
      </c>
      <c r="E333" s="1">
        <v>210.7</v>
      </c>
      <c r="F333" s="1">
        <v>167.8</v>
      </c>
      <c r="G333" s="1">
        <v>162.19999999999999</v>
      </c>
      <c r="H333" s="1">
        <v>194.6</v>
      </c>
      <c r="I333" s="1">
        <v>157.6</v>
      </c>
      <c r="J333" s="1">
        <v>166.9</v>
      </c>
      <c r="K333" s="1">
        <v>163.9</v>
      </c>
      <c r="L333" s="1">
        <v>118.8</v>
      </c>
      <c r="M333" s="1">
        <v>177.4</v>
      </c>
      <c r="N333" s="1">
        <v>165.3</v>
      </c>
      <c r="O333" s="1">
        <v>179.3</v>
      </c>
      <c r="P333" s="1">
        <v>168.4</v>
      </c>
      <c r="Q333" s="1">
        <v>193.7</v>
      </c>
      <c r="R333" s="1">
        <v>172.1</v>
      </c>
      <c r="S333" s="1">
        <v>164.6</v>
      </c>
      <c r="T333" s="1">
        <v>171.1</v>
      </c>
      <c r="U333" s="1" t="s">
        <v>150</v>
      </c>
      <c r="V333" s="1">
        <v>167.2</v>
      </c>
      <c r="W333" s="1">
        <v>162.80000000000001</v>
      </c>
      <c r="X333" s="1">
        <v>173</v>
      </c>
      <c r="Y333" s="1">
        <v>157.9</v>
      </c>
      <c r="Z333" s="1">
        <v>163.30000000000001</v>
      </c>
      <c r="AA333" s="1">
        <v>166</v>
      </c>
      <c r="AB333" s="1">
        <v>167.2</v>
      </c>
      <c r="AC333" s="1">
        <v>164.6</v>
      </c>
      <c r="AD333" s="1">
        <v>167.7</v>
      </c>
    </row>
    <row r="334" spans="1:30" x14ac:dyDescent="0.3">
      <c r="A334" s="1" t="s">
        <v>30</v>
      </c>
      <c r="B334" s="1">
        <v>2022</v>
      </c>
      <c r="C334" s="1" t="s">
        <v>38</v>
      </c>
      <c r="D334" s="1">
        <v>151.80000000000001</v>
      </c>
      <c r="E334" s="1">
        <v>209.7</v>
      </c>
      <c r="F334" s="1">
        <v>164.5</v>
      </c>
      <c r="G334" s="1">
        <v>163.80000000000001</v>
      </c>
      <c r="H334" s="1">
        <v>207.4</v>
      </c>
      <c r="I334" s="1">
        <v>169.7</v>
      </c>
      <c r="J334" s="1">
        <v>153.6</v>
      </c>
      <c r="K334" s="1">
        <v>165.1</v>
      </c>
      <c r="L334" s="1">
        <v>118.2</v>
      </c>
      <c r="M334" s="1">
        <v>182.9</v>
      </c>
      <c r="N334" s="1">
        <v>172.4</v>
      </c>
      <c r="O334" s="1">
        <v>178.9</v>
      </c>
      <c r="P334" s="1">
        <v>168.6</v>
      </c>
      <c r="Q334" s="1">
        <v>192.8</v>
      </c>
      <c r="R334" s="1">
        <v>177.5</v>
      </c>
      <c r="S334" s="1">
        <v>175.1</v>
      </c>
      <c r="T334" s="1">
        <v>177.1</v>
      </c>
      <c r="U334" s="1" t="s">
        <v>151</v>
      </c>
      <c r="V334" s="1">
        <v>173.3</v>
      </c>
      <c r="W334" s="1">
        <v>167.7</v>
      </c>
      <c r="X334" s="1">
        <v>177</v>
      </c>
      <c r="Y334" s="1">
        <v>166.2</v>
      </c>
      <c r="Z334" s="1">
        <v>167.2</v>
      </c>
      <c r="AA334" s="1">
        <v>170.9</v>
      </c>
      <c r="AB334" s="1">
        <v>169</v>
      </c>
      <c r="AC334" s="1">
        <v>170.2</v>
      </c>
      <c r="AD334" s="1">
        <v>170.8</v>
      </c>
    </row>
    <row r="335" spans="1:30" x14ac:dyDescent="0.3">
      <c r="A335" s="1" t="s">
        <v>32</v>
      </c>
      <c r="B335" s="1">
        <v>2022</v>
      </c>
      <c r="C335" s="1" t="s">
        <v>38</v>
      </c>
      <c r="D335" s="1">
        <v>155.4</v>
      </c>
      <c r="E335" s="1">
        <v>215.8</v>
      </c>
      <c r="F335" s="1">
        <v>164.6</v>
      </c>
      <c r="G335" s="1">
        <v>164.2</v>
      </c>
      <c r="H335" s="1">
        <v>186</v>
      </c>
      <c r="I335" s="1">
        <v>175.9</v>
      </c>
      <c r="J335" s="1">
        <v>190.7</v>
      </c>
      <c r="K335" s="1">
        <v>164</v>
      </c>
      <c r="L335" s="1">
        <v>120.5</v>
      </c>
      <c r="M335" s="1">
        <v>178</v>
      </c>
      <c r="N335" s="1">
        <v>157.5</v>
      </c>
      <c r="O335" s="1">
        <v>183.3</v>
      </c>
      <c r="P335" s="1">
        <v>174.5</v>
      </c>
      <c r="Q335" s="1">
        <v>197.1</v>
      </c>
      <c r="R335" s="1">
        <v>168.4</v>
      </c>
      <c r="S335" s="1">
        <v>154.5</v>
      </c>
      <c r="T335" s="1">
        <v>166.3</v>
      </c>
      <c r="U335" s="1" t="s">
        <v>151</v>
      </c>
      <c r="V335" s="1">
        <v>170.5</v>
      </c>
      <c r="W335" s="1">
        <v>159.80000000000001</v>
      </c>
      <c r="X335" s="1">
        <v>169</v>
      </c>
      <c r="Y335" s="1">
        <v>159.30000000000001</v>
      </c>
      <c r="Z335" s="1">
        <v>162.19999999999999</v>
      </c>
      <c r="AA335" s="1">
        <v>164</v>
      </c>
      <c r="AB335" s="1">
        <v>168.4</v>
      </c>
      <c r="AC335" s="1">
        <v>163.1</v>
      </c>
      <c r="AD335" s="1">
        <v>169.2</v>
      </c>
    </row>
    <row r="336" spans="1:30" x14ac:dyDescent="0.3">
      <c r="A336" s="1" t="s">
        <v>34</v>
      </c>
      <c r="B336" s="1">
        <v>2022</v>
      </c>
      <c r="C336" s="1" t="s">
        <v>38</v>
      </c>
      <c r="D336" s="1">
        <v>152.9</v>
      </c>
      <c r="E336" s="1">
        <v>211.8</v>
      </c>
      <c r="F336" s="1">
        <v>164.5</v>
      </c>
      <c r="G336" s="1">
        <v>163.9</v>
      </c>
      <c r="H336" s="1">
        <v>199.5</v>
      </c>
      <c r="I336" s="1">
        <v>172.6</v>
      </c>
      <c r="J336" s="1">
        <v>166.2</v>
      </c>
      <c r="K336" s="1">
        <v>164.7</v>
      </c>
      <c r="L336" s="1">
        <v>119</v>
      </c>
      <c r="M336" s="1">
        <v>181.3</v>
      </c>
      <c r="N336" s="1">
        <v>166.2</v>
      </c>
      <c r="O336" s="1">
        <v>180.9</v>
      </c>
      <c r="P336" s="1">
        <v>170.8</v>
      </c>
      <c r="Q336" s="1">
        <v>193.9</v>
      </c>
      <c r="R336" s="1">
        <v>173.9</v>
      </c>
      <c r="S336" s="1">
        <v>166.5</v>
      </c>
      <c r="T336" s="1">
        <v>172.8</v>
      </c>
      <c r="U336" s="1" t="s">
        <v>151</v>
      </c>
      <c r="V336" s="1">
        <v>172.2</v>
      </c>
      <c r="W336" s="1">
        <v>164</v>
      </c>
      <c r="X336" s="1">
        <v>174</v>
      </c>
      <c r="Y336" s="1">
        <v>162.6</v>
      </c>
      <c r="Z336" s="1">
        <v>164.4</v>
      </c>
      <c r="AA336" s="1">
        <v>166.9</v>
      </c>
      <c r="AB336" s="1">
        <v>168.8</v>
      </c>
      <c r="AC336" s="1">
        <v>166.8</v>
      </c>
      <c r="AD336" s="1">
        <v>170.1</v>
      </c>
    </row>
    <row r="337" spans="1:30" x14ac:dyDescent="0.3">
      <c r="A337" s="1" t="s">
        <v>30</v>
      </c>
      <c r="B337" s="1">
        <v>2022</v>
      </c>
      <c r="C337" s="1" t="s">
        <v>40</v>
      </c>
      <c r="D337" s="1">
        <v>152.9</v>
      </c>
      <c r="E337" s="1">
        <v>214.7</v>
      </c>
      <c r="F337" s="1">
        <v>161.4</v>
      </c>
      <c r="G337" s="1">
        <v>164.6</v>
      </c>
      <c r="H337" s="1">
        <v>209.9</v>
      </c>
      <c r="I337" s="1">
        <v>168</v>
      </c>
      <c r="J337" s="1">
        <v>160.4</v>
      </c>
      <c r="K337" s="1">
        <v>165</v>
      </c>
      <c r="L337" s="1">
        <v>118.9</v>
      </c>
      <c r="M337" s="1">
        <v>186.6</v>
      </c>
      <c r="N337" s="1">
        <v>173.2</v>
      </c>
      <c r="O337" s="1">
        <v>180.4</v>
      </c>
      <c r="P337" s="1">
        <v>170.8</v>
      </c>
      <c r="Q337" s="1">
        <v>192.9</v>
      </c>
      <c r="R337" s="1">
        <v>179.3</v>
      </c>
      <c r="S337" s="1">
        <v>177.2</v>
      </c>
      <c r="T337" s="1">
        <v>179</v>
      </c>
      <c r="U337" s="1" t="s">
        <v>152</v>
      </c>
      <c r="V337" s="1">
        <v>175.3</v>
      </c>
      <c r="W337" s="1">
        <v>168.9</v>
      </c>
      <c r="X337" s="1">
        <v>177.7</v>
      </c>
      <c r="Y337" s="1">
        <v>167.1</v>
      </c>
      <c r="Z337" s="1">
        <v>167.6</v>
      </c>
      <c r="AA337" s="1">
        <v>171.8</v>
      </c>
      <c r="AB337" s="1">
        <v>168.5</v>
      </c>
      <c r="AC337" s="1">
        <v>170.9</v>
      </c>
      <c r="AD337" s="1">
        <v>172.5</v>
      </c>
    </row>
    <row r="338" spans="1:30" x14ac:dyDescent="0.3">
      <c r="A338" s="1" t="s">
        <v>32</v>
      </c>
      <c r="B338" s="1">
        <v>2022</v>
      </c>
      <c r="C338" s="1" t="s">
        <v>40</v>
      </c>
      <c r="D338" s="1">
        <v>156.69999999999999</v>
      </c>
      <c r="E338" s="1">
        <v>221.2</v>
      </c>
      <c r="F338" s="1">
        <v>164.1</v>
      </c>
      <c r="G338" s="1">
        <v>165.4</v>
      </c>
      <c r="H338" s="1">
        <v>189.5</v>
      </c>
      <c r="I338" s="1">
        <v>174.5</v>
      </c>
      <c r="J338" s="1">
        <v>203.2</v>
      </c>
      <c r="K338" s="1">
        <v>164.1</v>
      </c>
      <c r="L338" s="1">
        <v>121.2</v>
      </c>
      <c r="M338" s="1">
        <v>181.4</v>
      </c>
      <c r="N338" s="1">
        <v>158.5</v>
      </c>
      <c r="O338" s="1">
        <v>184.9</v>
      </c>
      <c r="P338" s="1">
        <v>177.5</v>
      </c>
      <c r="Q338" s="1">
        <v>197.5</v>
      </c>
      <c r="R338" s="1">
        <v>170</v>
      </c>
      <c r="S338" s="1">
        <v>155.9</v>
      </c>
      <c r="T338" s="1">
        <v>167.8</v>
      </c>
      <c r="U338" s="1" t="s">
        <v>152</v>
      </c>
      <c r="V338" s="1">
        <v>173.5</v>
      </c>
      <c r="W338" s="1">
        <v>161.1</v>
      </c>
      <c r="X338" s="1">
        <v>170.1</v>
      </c>
      <c r="Y338" s="1">
        <v>159.4</v>
      </c>
      <c r="Z338" s="1">
        <v>163.19999999999999</v>
      </c>
      <c r="AA338" s="1">
        <v>165.2</v>
      </c>
      <c r="AB338" s="1">
        <v>168.2</v>
      </c>
      <c r="AC338" s="1">
        <v>163.80000000000001</v>
      </c>
      <c r="AD338" s="1">
        <v>170.8</v>
      </c>
    </row>
    <row r="339" spans="1:30" x14ac:dyDescent="0.3">
      <c r="A339" s="1" t="s">
        <v>34</v>
      </c>
      <c r="B339" s="1">
        <v>2022</v>
      </c>
      <c r="C339" s="1" t="s">
        <v>40</v>
      </c>
      <c r="D339" s="1">
        <v>154.1</v>
      </c>
      <c r="E339" s="1">
        <v>217</v>
      </c>
      <c r="F339" s="1">
        <v>162.4</v>
      </c>
      <c r="G339" s="1">
        <v>164.9</v>
      </c>
      <c r="H339" s="1">
        <v>202.4</v>
      </c>
      <c r="I339" s="1">
        <v>171</v>
      </c>
      <c r="J339" s="1">
        <v>174.9</v>
      </c>
      <c r="K339" s="1">
        <v>164.7</v>
      </c>
      <c r="L339" s="1">
        <v>119.7</v>
      </c>
      <c r="M339" s="1">
        <v>184.9</v>
      </c>
      <c r="N339" s="1">
        <v>167.1</v>
      </c>
      <c r="O339" s="1">
        <v>182.5</v>
      </c>
      <c r="P339" s="1">
        <v>173.3</v>
      </c>
      <c r="Q339" s="1">
        <v>194.1</v>
      </c>
      <c r="R339" s="1">
        <v>175.6</v>
      </c>
      <c r="S339" s="1">
        <v>168.4</v>
      </c>
      <c r="T339" s="1">
        <v>174.6</v>
      </c>
      <c r="U339" s="1" t="s">
        <v>152</v>
      </c>
      <c r="V339" s="1">
        <v>174.6</v>
      </c>
      <c r="W339" s="1">
        <v>165.2</v>
      </c>
      <c r="X339" s="1">
        <v>174.8</v>
      </c>
      <c r="Y339" s="1">
        <v>163</v>
      </c>
      <c r="Z339" s="1">
        <v>165.1</v>
      </c>
      <c r="AA339" s="1">
        <v>167.9</v>
      </c>
      <c r="AB339" s="1">
        <v>168.4</v>
      </c>
      <c r="AC339" s="1">
        <v>167.5</v>
      </c>
      <c r="AD339" s="1">
        <v>171.7</v>
      </c>
    </row>
    <row r="340" spans="1:30" x14ac:dyDescent="0.3">
      <c r="A340" s="1" t="s">
        <v>30</v>
      </c>
      <c r="B340" s="1">
        <v>2022</v>
      </c>
      <c r="C340" s="1" t="s">
        <v>41</v>
      </c>
      <c r="D340" s="1">
        <v>153.80000000000001</v>
      </c>
      <c r="E340" s="1">
        <v>217.2</v>
      </c>
      <c r="F340" s="1">
        <v>169.6</v>
      </c>
      <c r="G340" s="1">
        <v>165.4</v>
      </c>
      <c r="H340" s="1">
        <v>208.1</v>
      </c>
      <c r="I340" s="1">
        <v>165.8</v>
      </c>
      <c r="J340" s="1">
        <v>167.3</v>
      </c>
      <c r="K340" s="1">
        <v>164.6</v>
      </c>
      <c r="L340" s="1">
        <v>119.1</v>
      </c>
      <c r="M340" s="1">
        <v>188.9</v>
      </c>
      <c r="N340" s="1">
        <v>174.2</v>
      </c>
      <c r="O340" s="1">
        <v>181.9</v>
      </c>
      <c r="P340" s="1">
        <v>172.4</v>
      </c>
      <c r="Q340" s="1">
        <v>192.9</v>
      </c>
      <c r="R340" s="1">
        <v>180.7</v>
      </c>
      <c r="S340" s="1">
        <v>178.7</v>
      </c>
      <c r="T340" s="1">
        <v>180.4</v>
      </c>
      <c r="U340" s="1" t="s">
        <v>153</v>
      </c>
      <c r="V340" s="1">
        <v>176.7</v>
      </c>
      <c r="W340" s="1">
        <v>170.3</v>
      </c>
      <c r="X340" s="1">
        <v>178.2</v>
      </c>
      <c r="Y340" s="1">
        <v>165.5</v>
      </c>
      <c r="Z340" s="1">
        <v>168</v>
      </c>
      <c r="AA340" s="1">
        <v>172.6</v>
      </c>
      <c r="AB340" s="1">
        <v>169.5</v>
      </c>
      <c r="AC340" s="1">
        <v>171</v>
      </c>
      <c r="AD340" s="1">
        <v>173.6</v>
      </c>
    </row>
    <row r="341" spans="1:30" x14ac:dyDescent="0.3">
      <c r="A341" s="1" t="s">
        <v>32</v>
      </c>
      <c r="B341" s="1">
        <v>2022</v>
      </c>
      <c r="C341" s="1" t="s">
        <v>41</v>
      </c>
      <c r="D341" s="1">
        <v>157.5</v>
      </c>
      <c r="E341" s="1">
        <v>223.4</v>
      </c>
      <c r="F341" s="1">
        <v>172.8</v>
      </c>
      <c r="G341" s="1">
        <v>166.4</v>
      </c>
      <c r="H341" s="1">
        <v>188.6</v>
      </c>
      <c r="I341" s="1">
        <v>174.1</v>
      </c>
      <c r="J341" s="1">
        <v>211.5</v>
      </c>
      <c r="K341" s="1">
        <v>163.6</v>
      </c>
      <c r="L341" s="1">
        <v>121.4</v>
      </c>
      <c r="M341" s="1">
        <v>183.5</v>
      </c>
      <c r="N341" s="1">
        <v>159.1</v>
      </c>
      <c r="O341" s="1">
        <v>186.3</v>
      </c>
      <c r="P341" s="1">
        <v>179.3</v>
      </c>
      <c r="Q341" s="1">
        <v>198.3</v>
      </c>
      <c r="R341" s="1">
        <v>171.6</v>
      </c>
      <c r="S341" s="1">
        <v>157.4</v>
      </c>
      <c r="T341" s="1">
        <v>169.4</v>
      </c>
      <c r="U341" s="1" t="s">
        <v>153</v>
      </c>
      <c r="V341" s="1">
        <v>174.9</v>
      </c>
      <c r="W341" s="1">
        <v>162.1</v>
      </c>
      <c r="X341" s="1">
        <v>170.9</v>
      </c>
      <c r="Y341" s="1">
        <v>157.19999999999999</v>
      </c>
      <c r="Z341" s="1">
        <v>164.1</v>
      </c>
      <c r="AA341" s="1">
        <v>166.5</v>
      </c>
      <c r="AB341" s="1">
        <v>169.2</v>
      </c>
      <c r="AC341" s="1">
        <v>163.80000000000001</v>
      </c>
      <c r="AD341" s="1">
        <v>171.4</v>
      </c>
    </row>
    <row r="342" spans="1:30" x14ac:dyDescent="0.3">
      <c r="A342" s="1" t="s">
        <v>34</v>
      </c>
      <c r="B342" s="1">
        <v>2022</v>
      </c>
      <c r="C342" s="1" t="s">
        <v>41</v>
      </c>
      <c r="D342" s="1">
        <v>155</v>
      </c>
      <c r="E342" s="1">
        <v>219.4</v>
      </c>
      <c r="F342" s="1">
        <v>170.8</v>
      </c>
      <c r="G342" s="1">
        <v>165.8</v>
      </c>
      <c r="H342" s="1">
        <v>200.9</v>
      </c>
      <c r="I342" s="1">
        <v>169.7</v>
      </c>
      <c r="J342" s="1">
        <v>182.3</v>
      </c>
      <c r="K342" s="1">
        <v>164.3</v>
      </c>
      <c r="L342" s="1">
        <v>119.9</v>
      </c>
      <c r="M342" s="1">
        <v>187.1</v>
      </c>
      <c r="N342" s="1">
        <v>167.9</v>
      </c>
      <c r="O342" s="1">
        <v>183.9</v>
      </c>
      <c r="P342" s="1">
        <v>174.9</v>
      </c>
      <c r="Q342" s="1">
        <v>194.3</v>
      </c>
      <c r="R342" s="1">
        <v>177.1</v>
      </c>
      <c r="S342" s="1">
        <v>169.9</v>
      </c>
      <c r="T342" s="1">
        <v>176</v>
      </c>
      <c r="U342" s="1" t="s">
        <v>153</v>
      </c>
      <c r="V342" s="1">
        <v>176</v>
      </c>
      <c r="W342" s="1">
        <v>166.4</v>
      </c>
      <c r="X342" s="1">
        <v>175.4</v>
      </c>
      <c r="Y342" s="1">
        <v>161.1</v>
      </c>
      <c r="Z342" s="1">
        <v>165.8</v>
      </c>
      <c r="AA342" s="1">
        <v>169</v>
      </c>
      <c r="AB342" s="1">
        <v>169.4</v>
      </c>
      <c r="AC342" s="1">
        <v>167.5</v>
      </c>
      <c r="AD342" s="1">
        <v>172.6</v>
      </c>
    </row>
    <row r="343" spans="1:30" x14ac:dyDescent="0.3">
      <c r="A343" s="1" t="s">
        <v>30</v>
      </c>
      <c r="B343" s="1">
        <v>2022</v>
      </c>
      <c r="C343" s="1" t="s">
        <v>43</v>
      </c>
      <c r="D343" s="1">
        <v>155.19999999999999</v>
      </c>
      <c r="E343" s="1">
        <v>210.8</v>
      </c>
      <c r="F343" s="1">
        <v>174.3</v>
      </c>
      <c r="G343" s="1">
        <v>166.3</v>
      </c>
      <c r="H343" s="1">
        <v>202.2</v>
      </c>
      <c r="I343" s="1">
        <v>169.6</v>
      </c>
      <c r="J343" s="1">
        <v>168.6</v>
      </c>
      <c r="K343" s="1">
        <v>164.4</v>
      </c>
      <c r="L343" s="1">
        <v>119.2</v>
      </c>
      <c r="M343" s="1">
        <v>191.8</v>
      </c>
      <c r="N343" s="1">
        <v>174.5</v>
      </c>
      <c r="O343" s="1">
        <v>183.1</v>
      </c>
      <c r="P343" s="1">
        <v>172.5</v>
      </c>
      <c r="Q343" s="1">
        <v>193.2</v>
      </c>
      <c r="R343" s="1">
        <v>182</v>
      </c>
      <c r="S343" s="1">
        <v>180.3</v>
      </c>
      <c r="T343" s="1">
        <v>181.7</v>
      </c>
      <c r="U343" s="1" t="s">
        <v>154</v>
      </c>
      <c r="V343" s="1">
        <v>179.6</v>
      </c>
      <c r="W343" s="1">
        <v>171.3</v>
      </c>
      <c r="X343" s="1">
        <v>178.8</v>
      </c>
      <c r="Y343" s="1">
        <v>166.3</v>
      </c>
      <c r="Z343" s="1">
        <v>168.6</v>
      </c>
      <c r="AA343" s="1">
        <v>174.7</v>
      </c>
      <c r="AB343" s="1">
        <v>169.7</v>
      </c>
      <c r="AC343" s="1">
        <v>171.8</v>
      </c>
      <c r="AD343" s="1">
        <v>174.3</v>
      </c>
    </row>
    <row r="344" spans="1:30" x14ac:dyDescent="0.3">
      <c r="A344" s="1" t="s">
        <v>32</v>
      </c>
      <c r="B344" s="1">
        <v>2022</v>
      </c>
      <c r="C344" s="1" t="s">
        <v>43</v>
      </c>
      <c r="D344" s="1">
        <v>159.30000000000001</v>
      </c>
      <c r="E344" s="1">
        <v>217.1</v>
      </c>
      <c r="F344" s="1">
        <v>176.6</v>
      </c>
      <c r="G344" s="1">
        <v>167.1</v>
      </c>
      <c r="H344" s="1">
        <v>184.8</v>
      </c>
      <c r="I344" s="1">
        <v>179.5</v>
      </c>
      <c r="J344" s="1">
        <v>208.5</v>
      </c>
      <c r="K344" s="1">
        <v>164</v>
      </c>
      <c r="L344" s="1">
        <v>121.5</v>
      </c>
      <c r="M344" s="1">
        <v>186.3</v>
      </c>
      <c r="N344" s="1">
        <v>159.80000000000001</v>
      </c>
      <c r="O344" s="1">
        <v>187.7</v>
      </c>
      <c r="P344" s="1">
        <v>179.4</v>
      </c>
      <c r="Q344" s="1">
        <v>198.6</v>
      </c>
      <c r="R344" s="1">
        <v>172.7</v>
      </c>
      <c r="S344" s="1">
        <v>158.69999999999999</v>
      </c>
      <c r="T344" s="1">
        <v>170.6</v>
      </c>
      <c r="U344" s="1" t="s">
        <v>154</v>
      </c>
      <c r="V344" s="1">
        <v>179.5</v>
      </c>
      <c r="W344" s="1">
        <v>163.1</v>
      </c>
      <c r="X344" s="1">
        <v>171.7</v>
      </c>
      <c r="Y344" s="1">
        <v>157.4</v>
      </c>
      <c r="Z344" s="1">
        <v>164.6</v>
      </c>
      <c r="AA344" s="1">
        <v>169.1</v>
      </c>
      <c r="AB344" s="1">
        <v>169.8</v>
      </c>
      <c r="AC344" s="1">
        <v>164.7</v>
      </c>
      <c r="AD344" s="1">
        <v>172.3</v>
      </c>
    </row>
    <row r="345" spans="1:30" x14ac:dyDescent="0.3">
      <c r="A345" s="1" t="s">
        <v>34</v>
      </c>
      <c r="B345" s="1">
        <v>2022</v>
      </c>
      <c r="C345" s="1" t="s">
        <v>43</v>
      </c>
      <c r="D345" s="1">
        <v>156.5</v>
      </c>
      <c r="E345" s="1">
        <v>213</v>
      </c>
      <c r="F345" s="1">
        <v>175.2</v>
      </c>
      <c r="G345" s="1">
        <v>166.6</v>
      </c>
      <c r="H345" s="1">
        <v>195.8</v>
      </c>
      <c r="I345" s="1">
        <v>174.2</v>
      </c>
      <c r="J345" s="1">
        <v>182.1</v>
      </c>
      <c r="K345" s="1">
        <v>164.3</v>
      </c>
      <c r="L345" s="1">
        <v>120</v>
      </c>
      <c r="M345" s="1">
        <v>190</v>
      </c>
      <c r="N345" s="1">
        <v>168.4</v>
      </c>
      <c r="O345" s="1">
        <v>185.2</v>
      </c>
      <c r="P345" s="1">
        <v>175</v>
      </c>
      <c r="Q345" s="1">
        <v>194.6</v>
      </c>
      <c r="R345" s="1">
        <v>178.3</v>
      </c>
      <c r="S345" s="1">
        <v>171.3</v>
      </c>
      <c r="T345" s="1">
        <v>177.3</v>
      </c>
      <c r="U345" s="1" t="s">
        <v>154</v>
      </c>
      <c r="V345" s="1">
        <v>179.6</v>
      </c>
      <c r="W345" s="1">
        <v>167.4</v>
      </c>
      <c r="X345" s="1">
        <v>176.1</v>
      </c>
      <c r="Y345" s="1">
        <v>161.6</v>
      </c>
      <c r="Z345" s="1">
        <v>166.3</v>
      </c>
      <c r="AA345" s="1">
        <v>171.4</v>
      </c>
      <c r="AB345" s="1">
        <v>169.7</v>
      </c>
      <c r="AC345" s="1">
        <v>168.4</v>
      </c>
      <c r="AD345" s="1">
        <v>173.4</v>
      </c>
    </row>
    <row r="346" spans="1:30" x14ac:dyDescent="0.3">
      <c r="A346" s="1" t="s">
        <v>30</v>
      </c>
      <c r="B346" s="1">
        <v>2022</v>
      </c>
      <c r="C346" s="1" t="s">
        <v>45</v>
      </c>
      <c r="D346" s="1">
        <v>159.5</v>
      </c>
      <c r="E346" s="1">
        <v>204.1</v>
      </c>
      <c r="F346" s="1">
        <v>168.3</v>
      </c>
      <c r="G346" s="1">
        <v>167.9</v>
      </c>
      <c r="H346" s="1">
        <v>198.1</v>
      </c>
      <c r="I346" s="1">
        <v>169.2</v>
      </c>
      <c r="J346" s="1">
        <v>173.1</v>
      </c>
      <c r="K346" s="1">
        <v>167.1</v>
      </c>
      <c r="L346" s="1">
        <v>120.2</v>
      </c>
      <c r="M346" s="1">
        <v>195.6</v>
      </c>
      <c r="N346" s="1">
        <v>174.8</v>
      </c>
      <c r="O346" s="1">
        <v>184</v>
      </c>
      <c r="P346" s="1">
        <v>173.9</v>
      </c>
      <c r="Q346" s="1">
        <v>193.7</v>
      </c>
      <c r="R346" s="1">
        <v>183.2</v>
      </c>
      <c r="S346" s="1">
        <v>181.7</v>
      </c>
      <c r="T346" s="1">
        <v>183</v>
      </c>
      <c r="U346" s="1" t="s">
        <v>155</v>
      </c>
      <c r="V346" s="1">
        <v>179.1</v>
      </c>
      <c r="W346" s="1">
        <v>172.3</v>
      </c>
      <c r="X346" s="1">
        <v>179.4</v>
      </c>
      <c r="Y346" s="1">
        <v>166.6</v>
      </c>
      <c r="Z346" s="1">
        <v>169.3</v>
      </c>
      <c r="AA346" s="1">
        <v>175.7</v>
      </c>
      <c r="AB346" s="1">
        <v>171.1</v>
      </c>
      <c r="AC346" s="1">
        <v>172.6</v>
      </c>
      <c r="AD346" s="1">
        <v>175.3</v>
      </c>
    </row>
    <row r="347" spans="1:30" x14ac:dyDescent="0.3">
      <c r="A347" s="1" t="s">
        <v>32</v>
      </c>
      <c r="B347" s="1">
        <v>2022</v>
      </c>
      <c r="C347" s="1" t="s">
        <v>45</v>
      </c>
      <c r="D347" s="1">
        <v>162.1</v>
      </c>
      <c r="E347" s="1">
        <v>210.9</v>
      </c>
      <c r="F347" s="1">
        <v>170.6</v>
      </c>
      <c r="G347" s="1">
        <v>168.4</v>
      </c>
      <c r="H347" s="1">
        <v>182.5</v>
      </c>
      <c r="I347" s="1">
        <v>177.1</v>
      </c>
      <c r="J347" s="1">
        <v>213.1</v>
      </c>
      <c r="K347" s="1">
        <v>167.3</v>
      </c>
      <c r="L347" s="1">
        <v>122.2</v>
      </c>
      <c r="M347" s="1">
        <v>189.7</v>
      </c>
      <c r="N347" s="1">
        <v>160.5</v>
      </c>
      <c r="O347" s="1">
        <v>188.9</v>
      </c>
      <c r="P347" s="1">
        <v>180.4</v>
      </c>
      <c r="Q347" s="1">
        <v>198.7</v>
      </c>
      <c r="R347" s="1">
        <v>173.7</v>
      </c>
      <c r="S347" s="1">
        <v>160</v>
      </c>
      <c r="T347" s="1">
        <v>171.6</v>
      </c>
      <c r="U347" s="1" t="s">
        <v>155</v>
      </c>
      <c r="V347" s="1">
        <v>178.4</v>
      </c>
      <c r="W347" s="1">
        <v>164.2</v>
      </c>
      <c r="X347" s="1">
        <v>172.6</v>
      </c>
      <c r="Y347" s="1">
        <v>157.69999999999999</v>
      </c>
      <c r="Z347" s="1">
        <v>165.1</v>
      </c>
      <c r="AA347" s="1">
        <v>169.9</v>
      </c>
      <c r="AB347" s="1">
        <v>171.4</v>
      </c>
      <c r="AC347" s="1">
        <v>165.4</v>
      </c>
      <c r="AD347" s="1">
        <v>173.1</v>
      </c>
    </row>
    <row r="348" spans="1:30" x14ac:dyDescent="0.3">
      <c r="A348" s="1" t="s">
        <v>34</v>
      </c>
      <c r="B348" s="1">
        <v>2022</v>
      </c>
      <c r="C348" s="1" t="s">
        <v>45</v>
      </c>
      <c r="D348" s="1">
        <v>160.30000000000001</v>
      </c>
      <c r="E348" s="1">
        <v>206.5</v>
      </c>
      <c r="F348" s="1">
        <v>169.2</v>
      </c>
      <c r="G348" s="1">
        <v>168.1</v>
      </c>
      <c r="H348" s="1">
        <v>192.4</v>
      </c>
      <c r="I348" s="1">
        <v>172.9</v>
      </c>
      <c r="J348" s="1">
        <v>186.7</v>
      </c>
      <c r="K348" s="1">
        <v>167.2</v>
      </c>
      <c r="L348" s="1">
        <v>120.9</v>
      </c>
      <c r="M348" s="1">
        <v>193.6</v>
      </c>
      <c r="N348" s="1">
        <v>168.8</v>
      </c>
      <c r="O348" s="1">
        <v>186.3</v>
      </c>
      <c r="P348" s="1">
        <v>176.3</v>
      </c>
      <c r="Q348" s="1">
        <v>195</v>
      </c>
      <c r="R348" s="1">
        <v>179.5</v>
      </c>
      <c r="S348" s="1">
        <v>172.7</v>
      </c>
      <c r="T348" s="1">
        <v>178.5</v>
      </c>
      <c r="U348" s="1" t="s">
        <v>155</v>
      </c>
      <c r="V348" s="1">
        <v>178.8</v>
      </c>
      <c r="W348" s="1">
        <v>168.5</v>
      </c>
      <c r="X348" s="1">
        <v>176.8</v>
      </c>
      <c r="Y348" s="1">
        <v>161.9</v>
      </c>
      <c r="Z348" s="1">
        <v>166.9</v>
      </c>
      <c r="AA348" s="1">
        <v>172.3</v>
      </c>
      <c r="AB348" s="1">
        <v>171.2</v>
      </c>
      <c r="AC348" s="1">
        <v>169.1</v>
      </c>
      <c r="AD348" s="1">
        <v>174.3</v>
      </c>
    </row>
    <row r="349" spans="1:30" x14ac:dyDescent="0.3">
      <c r="A349" s="1" t="s">
        <v>30</v>
      </c>
      <c r="B349" s="1">
        <v>2022</v>
      </c>
      <c r="C349" s="1" t="s">
        <v>47</v>
      </c>
      <c r="D349" s="1">
        <v>162.9</v>
      </c>
      <c r="E349" s="1">
        <v>206.7</v>
      </c>
      <c r="F349" s="1">
        <v>169</v>
      </c>
      <c r="G349" s="1">
        <v>169.5</v>
      </c>
      <c r="H349" s="1">
        <v>194.1</v>
      </c>
      <c r="I349" s="1">
        <v>164.1</v>
      </c>
      <c r="J349" s="1">
        <v>176.9</v>
      </c>
      <c r="K349" s="1">
        <v>169</v>
      </c>
      <c r="L349" s="1">
        <v>120.8</v>
      </c>
      <c r="M349" s="1">
        <v>199.1</v>
      </c>
      <c r="N349" s="1">
        <v>175.4</v>
      </c>
      <c r="O349" s="1">
        <v>184.8</v>
      </c>
      <c r="P349" s="1">
        <v>175.5</v>
      </c>
      <c r="Q349" s="1">
        <v>194.5</v>
      </c>
      <c r="R349" s="1">
        <v>184.7</v>
      </c>
      <c r="S349" s="1">
        <v>183.3</v>
      </c>
      <c r="T349" s="1">
        <v>184.5</v>
      </c>
      <c r="U349" s="1" t="s">
        <v>156</v>
      </c>
      <c r="V349" s="1">
        <v>179.7</v>
      </c>
      <c r="W349" s="1">
        <v>173.6</v>
      </c>
      <c r="X349" s="1">
        <v>180.2</v>
      </c>
      <c r="Y349" s="1">
        <v>166.9</v>
      </c>
      <c r="Z349" s="1">
        <v>170</v>
      </c>
      <c r="AA349" s="1">
        <v>176.2</v>
      </c>
      <c r="AB349" s="1">
        <v>170.8</v>
      </c>
      <c r="AC349" s="1">
        <v>173.1</v>
      </c>
      <c r="AD349" s="1">
        <v>176.4</v>
      </c>
    </row>
    <row r="350" spans="1:30" x14ac:dyDescent="0.3">
      <c r="A350" s="1" t="s">
        <v>32</v>
      </c>
      <c r="B350" s="1">
        <v>2022</v>
      </c>
      <c r="C350" s="1" t="s">
        <v>47</v>
      </c>
      <c r="D350" s="1">
        <v>164.9</v>
      </c>
      <c r="E350" s="1">
        <v>213.7</v>
      </c>
      <c r="F350" s="1">
        <v>170.9</v>
      </c>
      <c r="G350" s="1">
        <v>170.1</v>
      </c>
      <c r="H350" s="1">
        <v>179.3</v>
      </c>
      <c r="I350" s="1">
        <v>167.5</v>
      </c>
      <c r="J350" s="1">
        <v>220.8</v>
      </c>
      <c r="K350" s="1">
        <v>169.2</v>
      </c>
      <c r="L350" s="1">
        <v>123.1</v>
      </c>
      <c r="M350" s="1">
        <v>193.6</v>
      </c>
      <c r="N350" s="1">
        <v>161.1</v>
      </c>
      <c r="O350" s="1">
        <v>190.4</v>
      </c>
      <c r="P350" s="1">
        <v>181.8</v>
      </c>
      <c r="Q350" s="1">
        <v>199.7</v>
      </c>
      <c r="R350" s="1">
        <v>175</v>
      </c>
      <c r="S350" s="1">
        <v>161.69999999999999</v>
      </c>
      <c r="T350" s="1">
        <v>173</v>
      </c>
      <c r="U350" s="1" t="s">
        <v>156</v>
      </c>
      <c r="V350" s="1">
        <v>179.2</v>
      </c>
      <c r="W350" s="1">
        <v>165</v>
      </c>
      <c r="X350" s="1">
        <v>173.8</v>
      </c>
      <c r="Y350" s="1">
        <v>158.19999999999999</v>
      </c>
      <c r="Z350" s="1">
        <v>165.8</v>
      </c>
      <c r="AA350" s="1">
        <v>170.9</v>
      </c>
      <c r="AB350" s="1">
        <v>171.1</v>
      </c>
      <c r="AC350" s="1">
        <v>166.1</v>
      </c>
      <c r="AD350" s="1">
        <v>174.1</v>
      </c>
    </row>
    <row r="351" spans="1:30" x14ac:dyDescent="0.3">
      <c r="A351" s="1" t="s">
        <v>34</v>
      </c>
      <c r="B351" s="1">
        <v>2022</v>
      </c>
      <c r="C351" s="1" t="s">
        <v>47</v>
      </c>
      <c r="D351" s="1">
        <v>163.5</v>
      </c>
      <c r="E351" s="1">
        <v>209.2</v>
      </c>
      <c r="F351" s="1">
        <v>169.7</v>
      </c>
      <c r="G351" s="1">
        <v>169.7</v>
      </c>
      <c r="H351" s="1">
        <v>188.7</v>
      </c>
      <c r="I351" s="1">
        <v>165.7</v>
      </c>
      <c r="J351" s="1">
        <v>191.8</v>
      </c>
      <c r="K351" s="1">
        <v>169.1</v>
      </c>
      <c r="L351" s="1">
        <v>121.6</v>
      </c>
      <c r="M351" s="1">
        <v>197.3</v>
      </c>
      <c r="N351" s="1">
        <v>169.4</v>
      </c>
      <c r="O351" s="1">
        <v>187.4</v>
      </c>
      <c r="P351" s="1">
        <v>177.8</v>
      </c>
      <c r="Q351" s="1">
        <v>195.9</v>
      </c>
      <c r="R351" s="1">
        <v>180.9</v>
      </c>
      <c r="S351" s="1">
        <v>174.3</v>
      </c>
      <c r="T351" s="1">
        <v>179.9</v>
      </c>
      <c r="U351" s="1" t="s">
        <v>156</v>
      </c>
      <c r="V351" s="1">
        <v>179.5</v>
      </c>
      <c r="W351" s="1">
        <v>169.5</v>
      </c>
      <c r="X351" s="1">
        <v>177.8</v>
      </c>
      <c r="Y351" s="1">
        <v>162.30000000000001</v>
      </c>
      <c r="Z351" s="1">
        <v>167.6</v>
      </c>
      <c r="AA351" s="1">
        <v>173.1</v>
      </c>
      <c r="AB351" s="1">
        <v>170.9</v>
      </c>
      <c r="AC351" s="1">
        <v>169.7</v>
      </c>
      <c r="AD351" s="1">
        <v>175.3</v>
      </c>
    </row>
    <row r="352" spans="1:30" x14ac:dyDescent="0.3">
      <c r="A352" s="1" t="s">
        <v>30</v>
      </c>
      <c r="B352" s="1">
        <v>2022</v>
      </c>
      <c r="C352" s="1" t="s">
        <v>49</v>
      </c>
      <c r="D352" s="1">
        <v>164.7</v>
      </c>
      <c r="E352" s="1">
        <v>208.8</v>
      </c>
      <c r="F352" s="1">
        <v>170.3</v>
      </c>
      <c r="G352" s="1">
        <v>170.9</v>
      </c>
      <c r="H352" s="1">
        <v>191.6</v>
      </c>
      <c r="I352" s="1">
        <v>162.19999999999999</v>
      </c>
      <c r="J352" s="1">
        <v>184.8</v>
      </c>
      <c r="K352" s="1">
        <v>169.7</v>
      </c>
      <c r="L352" s="1">
        <v>121.1</v>
      </c>
      <c r="M352" s="1">
        <v>201.6</v>
      </c>
      <c r="N352" s="1">
        <v>175.8</v>
      </c>
      <c r="O352" s="1">
        <v>185.6</v>
      </c>
      <c r="P352" s="1">
        <v>177.4</v>
      </c>
      <c r="Q352" s="1">
        <v>194.9</v>
      </c>
      <c r="R352" s="1">
        <v>186.1</v>
      </c>
      <c r="S352" s="1">
        <v>184.4</v>
      </c>
      <c r="T352" s="1">
        <v>185.9</v>
      </c>
      <c r="U352" s="1" t="s">
        <v>157</v>
      </c>
      <c r="V352" s="1">
        <v>180.8</v>
      </c>
      <c r="W352" s="1">
        <v>174.4</v>
      </c>
      <c r="X352" s="1">
        <v>181.2</v>
      </c>
      <c r="Y352" s="1">
        <v>167.4</v>
      </c>
      <c r="Z352" s="1">
        <v>170.6</v>
      </c>
      <c r="AA352" s="1">
        <v>176.5</v>
      </c>
      <c r="AB352" s="1">
        <v>172</v>
      </c>
      <c r="AC352" s="1">
        <v>173.9</v>
      </c>
      <c r="AD352" s="1">
        <v>177.9</v>
      </c>
    </row>
    <row r="353" spans="1:30" x14ac:dyDescent="0.3">
      <c r="A353" s="1" t="s">
        <v>32</v>
      </c>
      <c r="B353" s="1">
        <v>2022</v>
      </c>
      <c r="C353" s="1" t="s">
        <v>49</v>
      </c>
      <c r="D353" s="1">
        <v>166.4</v>
      </c>
      <c r="E353" s="1">
        <v>214.9</v>
      </c>
      <c r="F353" s="1">
        <v>171.9</v>
      </c>
      <c r="G353" s="1">
        <v>171</v>
      </c>
      <c r="H353" s="1">
        <v>177.7</v>
      </c>
      <c r="I353" s="1">
        <v>165.7</v>
      </c>
      <c r="J353" s="1">
        <v>228.6</v>
      </c>
      <c r="K353" s="1">
        <v>169.9</v>
      </c>
      <c r="L353" s="1">
        <v>123.4</v>
      </c>
      <c r="M353" s="1">
        <v>196.4</v>
      </c>
      <c r="N353" s="1">
        <v>161.6</v>
      </c>
      <c r="O353" s="1">
        <v>191.5</v>
      </c>
      <c r="P353" s="1">
        <v>183.3</v>
      </c>
      <c r="Q353" s="1">
        <v>200.1</v>
      </c>
      <c r="R353" s="1">
        <v>175.5</v>
      </c>
      <c r="S353" s="1">
        <v>162.6</v>
      </c>
      <c r="T353" s="1">
        <v>173.6</v>
      </c>
      <c r="U353" s="1" t="s">
        <v>157</v>
      </c>
      <c r="V353" s="1">
        <v>180</v>
      </c>
      <c r="W353" s="1">
        <v>166</v>
      </c>
      <c r="X353" s="1">
        <v>174.7</v>
      </c>
      <c r="Y353" s="1">
        <v>158.80000000000001</v>
      </c>
      <c r="Z353" s="1">
        <v>166.3</v>
      </c>
      <c r="AA353" s="1">
        <v>171.2</v>
      </c>
      <c r="AB353" s="1">
        <v>172.3</v>
      </c>
      <c r="AC353" s="1">
        <v>166.8</v>
      </c>
      <c r="AD353" s="1">
        <v>175.3</v>
      </c>
    </row>
    <row r="354" spans="1:30" x14ac:dyDescent="0.3">
      <c r="A354" s="1" t="s">
        <v>34</v>
      </c>
      <c r="B354" s="1">
        <v>2022</v>
      </c>
      <c r="C354" s="1" t="s">
        <v>49</v>
      </c>
      <c r="D354" s="1">
        <v>165.2</v>
      </c>
      <c r="E354" s="1">
        <v>210.9</v>
      </c>
      <c r="F354" s="1">
        <v>170.9</v>
      </c>
      <c r="G354" s="1">
        <v>170.9</v>
      </c>
      <c r="H354" s="1">
        <v>186.5</v>
      </c>
      <c r="I354" s="1">
        <v>163.80000000000001</v>
      </c>
      <c r="J354" s="1">
        <v>199.7</v>
      </c>
      <c r="K354" s="1">
        <v>169.8</v>
      </c>
      <c r="L354" s="1">
        <v>121.9</v>
      </c>
      <c r="M354" s="1">
        <v>199.9</v>
      </c>
      <c r="N354" s="1">
        <v>169.9</v>
      </c>
      <c r="O354" s="1">
        <v>188.3</v>
      </c>
      <c r="P354" s="1">
        <v>179.6</v>
      </c>
      <c r="Q354" s="1">
        <v>196.3</v>
      </c>
      <c r="R354" s="1">
        <v>181.9</v>
      </c>
      <c r="S354" s="1">
        <v>175.3</v>
      </c>
      <c r="T354" s="1">
        <v>181</v>
      </c>
      <c r="U354" s="1" t="s">
        <v>157</v>
      </c>
      <c r="V354" s="1">
        <v>180.5</v>
      </c>
      <c r="W354" s="1">
        <v>170.4</v>
      </c>
      <c r="X354" s="1">
        <v>178.7</v>
      </c>
      <c r="Y354" s="1">
        <v>162.9</v>
      </c>
      <c r="Z354" s="1">
        <v>168.2</v>
      </c>
      <c r="AA354" s="1">
        <v>173.4</v>
      </c>
      <c r="AB354" s="1">
        <v>172.1</v>
      </c>
      <c r="AC354" s="1">
        <v>170.5</v>
      </c>
      <c r="AD354" s="1">
        <v>176.7</v>
      </c>
    </row>
    <row r="355" spans="1:30" x14ac:dyDescent="0.3">
      <c r="A355" s="1" t="s">
        <v>30</v>
      </c>
      <c r="B355" s="1">
        <v>2022</v>
      </c>
      <c r="C355" s="1" t="s">
        <v>52</v>
      </c>
      <c r="D355" s="1">
        <v>166.9</v>
      </c>
      <c r="E355" s="1">
        <v>207.2</v>
      </c>
      <c r="F355" s="1">
        <v>180.2</v>
      </c>
      <c r="G355" s="1">
        <v>172.3</v>
      </c>
      <c r="H355" s="1">
        <v>194</v>
      </c>
      <c r="I355" s="1">
        <v>159.1</v>
      </c>
      <c r="J355" s="1">
        <v>171.6</v>
      </c>
      <c r="K355" s="1">
        <v>170.2</v>
      </c>
      <c r="L355" s="1">
        <v>121.5</v>
      </c>
      <c r="M355" s="1">
        <v>204.8</v>
      </c>
      <c r="N355" s="1">
        <v>176.4</v>
      </c>
      <c r="O355" s="1">
        <v>186.9</v>
      </c>
      <c r="P355" s="1">
        <v>176.6</v>
      </c>
      <c r="Q355" s="1">
        <v>195.5</v>
      </c>
      <c r="R355" s="1">
        <v>187.2</v>
      </c>
      <c r="S355" s="1">
        <v>185.2</v>
      </c>
      <c r="T355" s="1">
        <v>186.9</v>
      </c>
      <c r="U355" s="1" t="s">
        <v>158</v>
      </c>
      <c r="V355" s="1">
        <v>181.9</v>
      </c>
      <c r="W355" s="1">
        <v>175.5</v>
      </c>
      <c r="X355" s="1">
        <v>182.3</v>
      </c>
      <c r="Y355" s="1">
        <v>167.5</v>
      </c>
      <c r="Z355" s="1">
        <v>170.8</v>
      </c>
      <c r="AA355" s="1">
        <v>176.9</v>
      </c>
      <c r="AB355" s="1">
        <v>173.4</v>
      </c>
      <c r="AC355" s="1">
        <v>174.6</v>
      </c>
      <c r="AD355" s="1">
        <v>177.8</v>
      </c>
    </row>
    <row r="356" spans="1:30" x14ac:dyDescent="0.3">
      <c r="A356" s="1" t="s">
        <v>32</v>
      </c>
      <c r="B356" s="1">
        <v>2022</v>
      </c>
      <c r="C356" s="1" t="s">
        <v>52</v>
      </c>
      <c r="D356" s="1">
        <v>168.4</v>
      </c>
      <c r="E356" s="1">
        <v>213.4</v>
      </c>
      <c r="F356" s="1">
        <v>183.2</v>
      </c>
      <c r="G356" s="1">
        <v>172.3</v>
      </c>
      <c r="H356" s="1">
        <v>180</v>
      </c>
      <c r="I356" s="1">
        <v>162.6</v>
      </c>
      <c r="J356" s="1">
        <v>205.5</v>
      </c>
      <c r="K356" s="1">
        <v>171</v>
      </c>
      <c r="L356" s="1">
        <v>123.4</v>
      </c>
      <c r="M356" s="1">
        <v>198.8</v>
      </c>
      <c r="N356" s="1">
        <v>162.1</v>
      </c>
      <c r="O356" s="1">
        <v>192.4</v>
      </c>
      <c r="P356" s="1">
        <v>181.3</v>
      </c>
      <c r="Q356" s="1">
        <v>200.6</v>
      </c>
      <c r="R356" s="1">
        <v>176.7</v>
      </c>
      <c r="S356" s="1">
        <v>163.5</v>
      </c>
      <c r="T356" s="1">
        <v>174.7</v>
      </c>
      <c r="U356" s="1" t="s">
        <v>158</v>
      </c>
      <c r="V356" s="1">
        <v>180.3</v>
      </c>
      <c r="W356" s="1">
        <v>166.9</v>
      </c>
      <c r="X356" s="1">
        <v>175.8</v>
      </c>
      <c r="Y356" s="1">
        <v>158.9</v>
      </c>
      <c r="Z356" s="1">
        <v>166.7</v>
      </c>
      <c r="AA356" s="1">
        <v>171.5</v>
      </c>
      <c r="AB356" s="1">
        <v>173.8</v>
      </c>
      <c r="AC356" s="1">
        <v>167.4</v>
      </c>
      <c r="AD356" s="1">
        <v>174.1</v>
      </c>
    </row>
    <row r="357" spans="1:30" x14ac:dyDescent="0.3">
      <c r="A357" s="1" t="s">
        <v>34</v>
      </c>
      <c r="B357" s="1">
        <v>2022</v>
      </c>
      <c r="C357" s="1" t="s">
        <v>52</v>
      </c>
      <c r="D357" s="1">
        <v>167.4</v>
      </c>
      <c r="E357" s="1">
        <v>209.4</v>
      </c>
      <c r="F357" s="1">
        <v>181.4</v>
      </c>
      <c r="G357" s="1">
        <v>172.3</v>
      </c>
      <c r="H357" s="1">
        <v>188.9</v>
      </c>
      <c r="I357" s="1">
        <v>160.69999999999999</v>
      </c>
      <c r="J357" s="1">
        <v>183.1</v>
      </c>
      <c r="K357" s="1">
        <v>170.5</v>
      </c>
      <c r="L357" s="1">
        <v>122.1</v>
      </c>
      <c r="M357" s="1">
        <v>202.8</v>
      </c>
      <c r="N357" s="1">
        <v>170.4</v>
      </c>
      <c r="O357" s="1">
        <v>189.5</v>
      </c>
      <c r="P357" s="1">
        <v>178.3</v>
      </c>
      <c r="Q357" s="1">
        <v>196.9</v>
      </c>
      <c r="R357" s="1">
        <v>183.1</v>
      </c>
      <c r="S357" s="1">
        <v>176.2</v>
      </c>
      <c r="T357" s="1">
        <v>182.1</v>
      </c>
      <c r="U357" s="1" t="s">
        <v>158</v>
      </c>
      <c r="V357" s="1">
        <v>181.3</v>
      </c>
      <c r="W357" s="1">
        <v>171.4</v>
      </c>
      <c r="X357" s="1">
        <v>179.8</v>
      </c>
      <c r="Y357" s="1">
        <v>163</v>
      </c>
      <c r="Z357" s="1">
        <v>168.5</v>
      </c>
      <c r="AA357" s="1">
        <v>173.7</v>
      </c>
      <c r="AB357" s="1">
        <v>173.6</v>
      </c>
      <c r="AC357" s="1">
        <v>171.1</v>
      </c>
      <c r="AD357" s="1">
        <v>176.5</v>
      </c>
    </row>
    <row r="358" spans="1:30" x14ac:dyDescent="0.3">
      <c r="A358" s="1" t="s">
        <v>30</v>
      </c>
      <c r="B358" s="1">
        <v>2022</v>
      </c>
      <c r="C358" s="1" t="s">
        <v>54</v>
      </c>
      <c r="D358" s="1">
        <v>168.8</v>
      </c>
      <c r="E358" s="1">
        <v>206.9</v>
      </c>
      <c r="F358" s="1">
        <v>189.1</v>
      </c>
      <c r="G358" s="1">
        <v>173.4</v>
      </c>
      <c r="H358" s="1">
        <v>193.9</v>
      </c>
      <c r="I358" s="1">
        <v>156.69999999999999</v>
      </c>
      <c r="J358" s="1">
        <v>150.19999999999999</v>
      </c>
      <c r="K358" s="1">
        <v>170.5</v>
      </c>
      <c r="L358" s="1">
        <v>121.2</v>
      </c>
      <c r="M358" s="1">
        <v>207.5</v>
      </c>
      <c r="N358" s="1">
        <v>176.8</v>
      </c>
      <c r="O358" s="1">
        <v>187.7</v>
      </c>
      <c r="P358" s="1">
        <v>174.4</v>
      </c>
      <c r="Q358" s="1">
        <v>195.9</v>
      </c>
      <c r="R358" s="1">
        <v>188.1</v>
      </c>
      <c r="S358" s="1">
        <v>185.9</v>
      </c>
      <c r="T358" s="1">
        <v>187.8</v>
      </c>
      <c r="U358" s="1" t="s">
        <v>159</v>
      </c>
      <c r="V358" s="1">
        <v>182.8</v>
      </c>
      <c r="W358" s="1">
        <v>176.4</v>
      </c>
      <c r="X358" s="1">
        <v>183.5</v>
      </c>
      <c r="Y358" s="1">
        <v>167.8</v>
      </c>
      <c r="Z358" s="1">
        <v>171.2</v>
      </c>
      <c r="AA358" s="1">
        <v>177.3</v>
      </c>
      <c r="AB358" s="1">
        <v>175.7</v>
      </c>
      <c r="AC358" s="1">
        <v>175.5</v>
      </c>
      <c r="AD358" s="1">
        <v>177.1</v>
      </c>
    </row>
    <row r="359" spans="1:30" x14ac:dyDescent="0.3">
      <c r="A359" s="1" t="s">
        <v>32</v>
      </c>
      <c r="B359" s="1">
        <v>2022</v>
      </c>
      <c r="C359" s="1" t="s">
        <v>54</v>
      </c>
      <c r="D359" s="1">
        <v>170.2</v>
      </c>
      <c r="E359" s="1">
        <v>212.9</v>
      </c>
      <c r="F359" s="1">
        <v>191.9</v>
      </c>
      <c r="G359" s="1">
        <v>173.9</v>
      </c>
      <c r="H359" s="1">
        <v>179.1</v>
      </c>
      <c r="I359" s="1">
        <v>159.5</v>
      </c>
      <c r="J359" s="1">
        <v>178.7</v>
      </c>
      <c r="K359" s="1">
        <v>171.3</v>
      </c>
      <c r="L359" s="1">
        <v>123.1</v>
      </c>
      <c r="M359" s="1">
        <v>200.5</v>
      </c>
      <c r="N359" s="1">
        <v>162.80000000000001</v>
      </c>
      <c r="O359" s="1">
        <v>193.3</v>
      </c>
      <c r="P359" s="1">
        <v>178.6</v>
      </c>
      <c r="Q359" s="1">
        <v>201.1</v>
      </c>
      <c r="R359" s="1">
        <v>177.7</v>
      </c>
      <c r="S359" s="1">
        <v>164.5</v>
      </c>
      <c r="T359" s="1">
        <v>175.7</v>
      </c>
      <c r="U359" s="1" t="s">
        <v>159</v>
      </c>
      <c r="V359" s="1">
        <v>180.6</v>
      </c>
      <c r="W359" s="1">
        <v>167.3</v>
      </c>
      <c r="X359" s="1">
        <v>177.2</v>
      </c>
      <c r="Y359" s="1">
        <v>159.4</v>
      </c>
      <c r="Z359" s="1">
        <v>167.1</v>
      </c>
      <c r="AA359" s="1">
        <v>171.8</v>
      </c>
      <c r="AB359" s="1">
        <v>176</v>
      </c>
      <c r="AC359" s="1">
        <v>168.2</v>
      </c>
      <c r="AD359" s="1">
        <v>174.1</v>
      </c>
    </row>
    <row r="360" spans="1:30" x14ac:dyDescent="0.3">
      <c r="A360" s="1" t="s">
        <v>34</v>
      </c>
      <c r="B360" s="1">
        <v>2022</v>
      </c>
      <c r="C360" s="1" t="s">
        <v>54</v>
      </c>
      <c r="D360" s="1">
        <v>169.2</v>
      </c>
      <c r="E360" s="1">
        <v>209</v>
      </c>
      <c r="F360" s="1">
        <v>190.2</v>
      </c>
      <c r="G360" s="1">
        <v>173.6</v>
      </c>
      <c r="H360" s="1">
        <v>188.5</v>
      </c>
      <c r="I360" s="1">
        <v>158</v>
      </c>
      <c r="J360" s="1">
        <v>159.9</v>
      </c>
      <c r="K360" s="1">
        <v>170.8</v>
      </c>
      <c r="L360" s="1">
        <v>121.8</v>
      </c>
      <c r="M360" s="1">
        <v>205.2</v>
      </c>
      <c r="N360" s="1">
        <v>171</v>
      </c>
      <c r="O360" s="1">
        <v>190.3</v>
      </c>
      <c r="P360" s="1">
        <v>175.9</v>
      </c>
      <c r="Q360" s="1">
        <v>197.3</v>
      </c>
      <c r="R360" s="1">
        <v>184</v>
      </c>
      <c r="S360" s="1">
        <v>177</v>
      </c>
      <c r="T360" s="1">
        <v>183</v>
      </c>
      <c r="U360" s="1" t="s">
        <v>159</v>
      </c>
      <c r="V360" s="1">
        <v>182</v>
      </c>
      <c r="W360" s="1">
        <v>172.1</v>
      </c>
      <c r="X360" s="1">
        <v>181.1</v>
      </c>
      <c r="Y360" s="1">
        <v>163.4</v>
      </c>
      <c r="Z360" s="1">
        <v>168.9</v>
      </c>
      <c r="AA360" s="1">
        <v>174.1</v>
      </c>
      <c r="AB360" s="1">
        <v>175.8</v>
      </c>
      <c r="AC360" s="1">
        <v>172</v>
      </c>
      <c r="AD360" s="1">
        <v>175.7</v>
      </c>
    </row>
    <row r="361" spans="1:30" x14ac:dyDescent="0.3">
      <c r="A361" s="1" t="s">
        <v>30</v>
      </c>
      <c r="B361" s="1">
        <v>2023</v>
      </c>
      <c r="C361" s="1" t="s">
        <v>31</v>
      </c>
      <c r="D361" s="1">
        <v>174</v>
      </c>
      <c r="E361" s="1">
        <v>208.3</v>
      </c>
      <c r="F361" s="1">
        <v>192.9</v>
      </c>
      <c r="G361" s="1">
        <v>174.3</v>
      </c>
      <c r="H361" s="1">
        <v>192.6</v>
      </c>
      <c r="I361" s="1">
        <v>156.30000000000001</v>
      </c>
      <c r="J361" s="1">
        <v>142.9</v>
      </c>
      <c r="K361" s="1">
        <v>170.7</v>
      </c>
      <c r="L361" s="1">
        <v>120.3</v>
      </c>
      <c r="M361" s="1">
        <v>210.5</v>
      </c>
      <c r="N361" s="1">
        <v>176.9</v>
      </c>
      <c r="O361" s="1">
        <v>188.5</v>
      </c>
      <c r="P361" s="1">
        <v>175</v>
      </c>
      <c r="Q361" s="1">
        <v>196.9</v>
      </c>
      <c r="R361" s="1">
        <v>189</v>
      </c>
      <c r="S361" s="1">
        <v>186.3</v>
      </c>
      <c r="T361" s="1">
        <v>188.6</v>
      </c>
      <c r="U361" s="1" t="s">
        <v>160</v>
      </c>
      <c r="V361" s="1">
        <v>183.2</v>
      </c>
      <c r="W361" s="1">
        <v>177.2</v>
      </c>
      <c r="X361" s="1">
        <v>184.7</v>
      </c>
      <c r="Y361" s="1">
        <v>168.2</v>
      </c>
      <c r="Z361" s="1">
        <v>171.8</v>
      </c>
      <c r="AA361" s="1">
        <v>177.8</v>
      </c>
      <c r="AB361" s="1">
        <v>178.4</v>
      </c>
      <c r="AC361" s="1">
        <v>176.5</v>
      </c>
      <c r="AD361" s="1">
        <v>177.8</v>
      </c>
    </row>
    <row r="362" spans="1:30" x14ac:dyDescent="0.3">
      <c r="A362" s="1" t="s">
        <v>32</v>
      </c>
      <c r="B362" s="1">
        <v>2023</v>
      </c>
      <c r="C362" s="1" t="s">
        <v>31</v>
      </c>
      <c r="D362" s="1">
        <v>173.3</v>
      </c>
      <c r="E362" s="1">
        <v>215.2</v>
      </c>
      <c r="F362" s="1">
        <v>197</v>
      </c>
      <c r="G362" s="1">
        <v>175.2</v>
      </c>
      <c r="H362" s="1">
        <v>178</v>
      </c>
      <c r="I362" s="1">
        <v>160.5</v>
      </c>
      <c r="J362" s="1">
        <v>175.3</v>
      </c>
      <c r="K362" s="1">
        <v>171.2</v>
      </c>
      <c r="L362" s="1">
        <v>122.7</v>
      </c>
      <c r="M362" s="1">
        <v>204.3</v>
      </c>
      <c r="N362" s="1">
        <v>163.69999999999999</v>
      </c>
      <c r="O362" s="1">
        <v>194.3</v>
      </c>
      <c r="P362" s="1">
        <v>179.5</v>
      </c>
      <c r="Q362" s="1">
        <v>201.6</v>
      </c>
      <c r="R362" s="1">
        <v>178.7</v>
      </c>
      <c r="S362" s="1">
        <v>165.3</v>
      </c>
      <c r="T362" s="1">
        <v>176.6</v>
      </c>
      <c r="U362" s="1" t="s">
        <v>160</v>
      </c>
      <c r="V362" s="1">
        <v>180.1</v>
      </c>
      <c r="W362" s="1">
        <v>168</v>
      </c>
      <c r="X362" s="1">
        <v>178.5</v>
      </c>
      <c r="Y362" s="1">
        <v>159.5</v>
      </c>
      <c r="Z362" s="1">
        <v>167.8</v>
      </c>
      <c r="AA362" s="1">
        <v>171.8</v>
      </c>
      <c r="AB362" s="1">
        <v>178.8</v>
      </c>
      <c r="AC362" s="1">
        <v>168.9</v>
      </c>
      <c r="AD362" s="1">
        <v>174.9</v>
      </c>
    </row>
    <row r="363" spans="1:30" x14ac:dyDescent="0.3">
      <c r="A363" s="1" t="s">
        <v>34</v>
      </c>
      <c r="B363" s="1">
        <v>2023</v>
      </c>
      <c r="C363" s="1" t="s">
        <v>31</v>
      </c>
      <c r="D363" s="1">
        <v>173.8</v>
      </c>
      <c r="E363" s="1">
        <v>210.7</v>
      </c>
      <c r="F363" s="1">
        <v>194.5</v>
      </c>
      <c r="G363" s="1">
        <v>174.6</v>
      </c>
      <c r="H363" s="1">
        <v>187.2</v>
      </c>
      <c r="I363" s="1">
        <v>158.30000000000001</v>
      </c>
      <c r="J363" s="1">
        <v>153.9</v>
      </c>
      <c r="K363" s="1">
        <v>170.9</v>
      </c>
      <c r="L363" s="1">
        <v>121.1</v>
      </c>
      <c r="M363" s="1">
        <v>208.4</v>
      </c>
      <c r="N363" s="1">
        <v>171.4</v>
      </c>
      <c r="O363" s="1">
        <v>191.2</v>
      </c>
      <c r="P363" s="1">
        <v>176.7</v>
      </c>
      <c r="Q363" s="1">
        <v>198.2</v>
      </c>
      <c r="R363" s="1">
        <v>184.9</v>
      </c>
      <c r="S363" s="1">
        <v>177.6</v>
      </c>
      <c r="T363" s="1">
        <v>183.8</v>
      </c>
      <c r="U363" s="1" t="s">
        <v>160</v>
      </c>
      <c r="V363" s="1">
        <v>182</v>
      </c>
      <c r="W363" s="1">
        <v>172.9</v>
      </c>
      <c r="X363" s="1">
        <v>182.3</v>
      </c>
      <c r="Y363" s="1">
        <v>163.6</v>
      </c>
      <c r="Z363" s="1">
        <v>169.5</v>
      </c>
      <c r="AA363" s="1">
        <v>174.3</v>
      </c>
      <c r="AB363" s="1">
        <v>178.6</v>
      </c>
      <c r="AC363" s="1">
        <v>172.8</v>
      </c>
      <c r="AD363" s="1">
        <v>176.5</v>
      </c>
    </row>
    <row r="364" spans="1:30" x14ac:dyDescent="0.3">
      <c r="A364" s="1" t="s">
        <v>30</v>
      </c>
      <c r="B364" s="1">
        <v>2023</v>
      </c>
      <c r="C364" s="1" t="s">
        <v>35</v>
      </c>
      <c r="D364" s="1">
        <v>174.2</v>
      </c>
      <c r="E364" s="1">
        <v>205.2</v>
      </c>
      <c r="F364" s="1">
        <v>173.9</v>
      </c>
      <c r="G364" s="1">
        <v>177</v>
      </c>
      <c r="H364" s="1">
        <v>183.4</v>
      </c>
      <c r="I364" s="1">
        <v>167.2</v>
      </c>
      <c r="J364" s="1">
        <v>140.9</v>
      </c>
      <c r="K364" s="1">
        <v>170.4</v>
      </c>
      <c r="L364" s="1">
        <v>119.1</v>
      </c>
      <c r="M364" s="1">
        <v>212.1</v>
      </c>
      <c r="N364" s="1">
        <v>177.6</v>
      </c>
      <c r="O364" s="1">
        <v>189.9</v>
      </c>
      <c r="P364" s="1">
        <v>174.8</v>
      </c>
      <c r="Q364" s="1">
        <v>198.3</v>
      </c>
      <c r="R364" s="1">
        <v>190</v>
      </c>
      <c r="S364" s="1">
        <v>187</v>
      </c>
      <c r="T364" s="1">
        <v>189.6</v>
      </c>
      <c r="U364" s="1" t="s">
        <v>161</v>
      </c>
      <c r="V364" s="1">
        <v>181.6</v>
      </c>
      <c r="W364" s="1">
        <v>178.6</v>
      </c>
      <c r="X364" s="1">
        <v>186.6</v>
      </c>
      <c r="Y364" s="1">
        <v>169</v>
      </c>
      <c r="Z364" s="1">
        <v>172.8</v>
      </c>
      <c r="AA364" s="1">
        <v>178.5</v>
      </c>
      <c r="AB364" s="1">
        <v>180.7</v>
      </c>
      <c r="AC364" s="1">
        <v>177.9</v>
      </c>
      <c r="AD364" s="1">
        <v>178</v>
      </c>
    </row>
    <row r="365" spans="1:30" x14ac:dyDescent="0.3">
      <c r="A365" s="1" t="s">
        <v>32</v>
      </c>
      <c r="B365" s="1">
        <v>2023</v>
      </c>
      <c r="C365" s="1" t="s">
        <v>35</v>
      </c>
      <c r="D365" s="1">
        <v>174.7</v>
      </c>
      <c r="E365" s="1">
        <v>212.2</v>
      </c>
      <c r="F365" s="1">
        <v>177.2</v>
      </c>
      <c r="G365" s="1">
        <v>177.9</v>
      </c>
      <c r="H365" s="1">
        <v>172.2</v>
      </c>
      <c r="I365" s="1">
        <v>172.1</v>
      </c>
      <c r="J365" s="1">
        <v>175.8</v>
      </c>
      <c r="K365" s="1">
        <v>172.2</v>
      </c>
      <c r="L365" s="1">
        <v>121.9</v>
      </c>
      <c r="M365" s="1">
        <v>204.8</v>
      </c>
      <c r="N365" s="1">
        <v>164.9</v>
      </c>
      <c r="O365" s="1">
        <v>196.6</v>
      </c>
      <c r="P365" s="1">
        <v>180.7</v>
      </c>
      <c r="Q365" s="1">
        <v>202.7</v>
      </c>
      <c r="R365" s="1">
        <v>180.3</v>
      </c>
      <c r="S365" s="1">
        <v>167</v>
      </c>
      <c r="T365" s="1">
        <v>178.2</v>
      </c>
      <c r="U365" s="1" t="s">
        <v>161</v>
      </c>
      <c r="V365" s="1">
        <v>182.8</v>
      </c>
      <c r="W365" s="1">
        <v>169.2</v>
      </c>
      <c r="X365" s="1">
        <v>180.8</v>
      </c>
      <c r="Y365" s="1">
        <v>159.80000000000001</v>
      </c>
      <c r="Z365" s="1">
        <v>168.4</v>
      </c>
      <c r="AA365" s="1">
        <v>172.5</v>
      </c>
      <c r="AB365" s="1">
        <v>181.4</v>
      </c>
      <c r="AC365" s="1">
        <v>170</v>
      </c>
      <c r="AD365" s="1">
        <v>176.3</v>
      </c>
    </row>
    <row r="366" spans="1:30" x14ac:dyDescent="0.3">
      <c r="A366" s="1" t="s">
        <v>34</v>
      </c>
      <c r="B366" s="1">
        <v>2023</v>
      </c>
      <c r="C366" s="1" t="s">
        <v>35</v>
      </c>
      <c r="D366" s="1">
        <v>174.4</v>
      </c>
      <c r="E366" s="1">
        <v>207.7</v>
      </c>
      <c r="F366" s="1">
        <v>175.2</v>
      </c>
      <c r="G366" s="1">
        <v>177.3</v>
      </c>
      <c r="H366" s="1">
        <v>179.3</v>
      </c>
      <c r="I366" s="1">
        <v>169.5</v>
      </c>
      <c r="J366" s="1">
        <v>152.69999999999999</v>
      </c>
      <c r="K366" s="1">
        <v>171</v>
      </c>
      <c r="L366" s="1">
        <v>120</v>
      </c>
      <c r="M366" s="1">
        <v>209.7</v>
      </c>
      <c r="N366" s="1">
        <v>172.3</v>
      </c>
      <c r="O366" s="1">
        <v>193</v>
      </c>
      <c r="P366" s="1">
        <v>177</v>
      </c>
      <c r="Q366" s="1">
        <v>199.5</v>
      </c>
      <c r="R366" s="1">
        <v>186.2</v>
      </c>
      <c r="S366" s="1">
        <v>178.7</v>
      </c>
      <c r="T366" s="1">
        <v>185.1</v>
      </c>
      <c r="U366" s="1" t="s">
        <v>161</v>
      </c>
      <c r="V366" s="1">
        <v>182.1</v>
      </c>
      <c r="W366" s="1">
        <v>174.2</v>
      </c>
      <c r="X366" s="1">
        <v>184.4</v>
      </c>
      <c r="Y366" s="1">
        <v>164.2</v>
      </c>
      <c r="Z366" s="1">
        <v>170.3</v>
      </c>
      <c r="AA366" s="1">
        <v>175</v>
      </c>
      <c r="AB366" s="1">
        <v>181</v>
      </c>
      <c r="AC366" s="1">
        <v>174.1</v>
      </c>
      <c r="AD366" s="1">
        <v>177.2</v>
      </c>
    </row>
    <row r="367" spans="1:30" x14ac:dyDescent="0.3">
      <c r="A367" s="1" t="s">
        <v>30</v>
      </c>
      <c r="B367" s="1">
        <v>2023</v>
      </c>
      <c r="C367" s="1" t="s">
        <v>37</v>
      </c>
      <c r="D367" s="1">
        <v>174.3</v>
      </c>
      <c r="E367" s="1">
        <v>205.2</v>
      </c>
      <c r="F367" s="1">
        <v>173.9</v>
      </c>
      <c r="G367" s="1">
        <v>177</v>
      </c>
      <c r="H367" s="1">
        <v>183.3</v>
      </c>
      <c r="I367" s="1">
        <v>167.2</v>
      </c>
      <c r="J367" s="1">
        <v>140.9</v>
      </c>
      <c r="K367" s="1">
        <v>170.5</v>
      </c>
      <c r="L367" s="1">
        <v>119.1</v>
      </c>
      <c r="M367" s="1">
        <v>212.1</v>
      </c>
      <c r="N367" s="1">
        <v>177.6</v>
      </c>
      <c r="O367" s="1">
        <v>189.9</v>
      </c>
      <c r="P367" s="1">
        <v>174.8</v>
      </c>
      <c r="Q367" s="1">
        <v>198.4</v>
      </c>
      <c r="R367" s="1">
        <v>190</v>
      </c>
      <c r="S367" s="1">
        <v>187</v>
      </c>
      <c r="T367" s="1">
        <v>189.6</v>
      </c>
      <c r="U367" s="1" t="s">
        <v>161</v>
      </c>
      <c r="V367" s="1">
        <v>181.4</v>
      </c>
      <c r="W367" s="1">
        <v>178.6</v>
      </c>
      <c r="X367" s="1">
        <v>186.6</v>
      </c>
      <c r="Y367" s="1">
        <v>169</v>
      </c>
      <c r="Z367" s="1">
        <v>172.8</v>
      </c>
      <c r="AA367" s="1">
        <v>178.5</v>
      </c>
      <c r="AB367" s="1">
        <v>180.7</v>
      </c>
      <c r="AC367" s="1">
        <v>177.9</v>
      </c>
      <c r="AD367" s="1">
        <v>178</v>
      </c>
    </row>
    <row r="368" spans="1:30" x14ac:dyDescent="0.3">
      <c r="A368" s="1" t="s">
        <v>32</v>
      </c>
      <c r="B368" s="1">
        <v>2023</v>
      </c>
      <c r="C368" s="1" t="s">
        <v>37</v>
      </c>
      <c r="D368" s="1">
        <v>174.7</v>
      </c>
      <c r="E368" s="1">
        <v>212.2</v>
      </c>
      <c r="F368" s="1">
        <v>177.2</v>
      </c>
      <c r="G368" s="1">
        <v>177.9</v>
      </c>
      <c r="H368" s="1">
        <v>172.2</v>
      </c>
      <c r="I368" s="1">
        <v>172.1</v>
      </c>
      <c r="J368" s="1">
        <v>175.9</v>
      </c>
      <c r="K368" s="1">
        <v>172.2</v>
      </c>
      <c r="L368" s="1">
        <v>121.9</v>
      </c>
      <c r="M368" s="1">
        <v>204.8</v>
      </c>
      <c r="N368" s="1">
        <v>164.9</v>
      </c>
      <c r="O368" s="1">
        <v>196.6</v>
      </c>
      <c r="P368" s="1">
        <v>180.8</v>
      </c>
      <c r="Q368" s="1">
        <v>202.7</v>
      </c>
      <c r="R368" s="1">
        <v>180.2</v>
      </c>
      <c r="S368" s="1">
        <v>167</v>
      </c>
      <c r="T368" s="1">
        <v>178.2</v>
      </c>
      <c r="U368" s="1" t="s">
        <v>161</v>
      </c>
      <c r="V368" s="1">
        <v>182.6</v>
      </c>
      <c r="W368" s="1">
        <v>169.2</v>
      </c>
      <c r="X368" s="1">
        <v>180.8</v>
      </c>
      <c r="Y368" s="1">
        <v>159.80000000000001</v>
      </c>
      <c r="Z368" s="1">
        <v>168.4</v>
      </c>
      <c r="AA368" s="1">
        <v>172.5</v>
      </c>
      <c r="AB368" s="1">
        <v>181.5</v>
      </c>
      <c r="AC368" s="1">
        <v>170</v>
      </c>
      <c r="AD368" s="1">
        <v>176.3</v>
      </c>
    </row>
    <row r="369" spans="1:30" x14ac:dyDescent="0.3">
      <c r="A369" s="1" t="s">
        <v>34</v>
      </c>
      <c r="B369" s="1">
        <v>2023</v>
      </c>
      <c r="C369" s="1" t="s">
        <v>37</v>
      </c>
      <c r="D369" s="1">
        <v>174.4</v>
      </c>
      <c r="E369" s="1">
        <v>207.7</v>
      </c>
      <c r="F369" s="1">
        <v>175.2</v>
      </c>
      <c r="G369" s="1">
        <v>177.3</v>
      </c>
      <c r="H369" s="1">
        <v>179.2</v>
      </c>
      <c r="I369" s="1">
        <v>169.5</v>
      </c>
      <c r="J369" s="1">
        <v>152.80000000000001</v>
      </c>
      <c r="K369" s="1">
        <v>171.1</v>
      </c>
      <c r="L369" s="1">
        <v>120</v>
      </c>
      <c r="M369" s="1">
        <v>209.7</v>
      </c>
      <c r="N369" s="1">
        <v>172.3</v>
      </c>
      <c r="O369" s="1">
        <v>193</v>
      </c>
      <c r="P369" s="1">
        <v>177</v>
      </c>
      <c r="Q369" s="1">
        <v>199.5</v>
      </c>
      <c r="R369" s="1">
        <v>186.1</v>
      </c>
      <c r="S369" s="1">
        <v>178.7</v>
      </c>
      <c r="T369" s="1">
        <v>185.1</v>
      </c>
      <c r="U369" s="1" t="s">
        <v>161</v>
      </c>
      <c r="V369" s="1">
        <v>181.9</v>
      </c>
      <c r="W369" s="1">
        <v>174.2</v>
      </c>
      <c r="X369" s="1">
        <v>184.4</v>
      </c>
      <c r="Y369" s="1">
        <v>164.2</v>
      </c>
      <c r="Z369" s="1">
        <v>170.3</v>
      </c>
      <c r="AA369" s="1">
        <v>175</v>
      </c>
      <c r="AB369" s="1">
        <v>181</v>
      </c>
      <c r="AC369" s="1">
        <v>174.1</v>
      </c>
      <c r="AD369" s="1">
        <v>177.2</v>
      </c>
    </row>
    <row r="370" spans="1:30" x14ac:dyDescent="0.3">
      <c r="A370" s="1" t="s">
        <v>30</v>
      </c>
      <c r="B370" s="1">
        <v>2023</v>
      </c>
      <c r="C370" s="1" t="s">
        <v>38</v>
      </c>
      <c r="D370" s="1">
        <v>173.3</v>
      </c>
      <c r="E370" s="1">
        <v>206.9</v>
      </c>
      <c r="F370" s="1">
        <v>167.9</v>
      </c>
      <c r="G370" s="1">
        <v>178.2</v>
      </c>
      <c r="H370" s="1">
        <v>178.5</v>
      </c>
      <c r="I370" s="1">
        <v>173.7</v>
      </c>
      <c r="J370" s="1">
        <v>142.80000000000001</v>
      </c>
      <c r="K370" s="1">
        <v>172.8</v>
      </c>
      <c r="L370" s="1">
        <v>120.4</v>
      </c>
      <c r="M370" s="1">
        <v>215.5</v>
      </c>
      <c r="N370" s="1">
        <v>178.2</v>
      </c>
      <c r="O370" s="1">
        <v>190.5</v>
      </c>
      <c r="P370" s="1">
        <v>175.5</v>
      </c>
      <c r="Q370" s="1">
        <v>199.5</v>
      </c>
      <c r="R370" s="1">
        <v>190.7</v>
      </c>
      <c r="S370" s="1">
        <v>187.3</v>
      </c>
      <c r="T370" s="1">
        <v>190.2</v>
      </c>
      <c r="U370" s="1" t="s">
        <v>138</v>
      </c>
      <c r="V370" s="1">
        <v>181.5</v>
      </c>
      <c r="W370" s="1">
        <v>179.1</v>
      </c>
      <c r="X370" s="1">
        <v>187.2</v>
      </c>
      <c r="Y370" s="1">
        <v>169.4</v>
      </c>
      <c r="Z370" s="1">
        <v>173.2</v>
      </c>
      <c r="AA370" s="1">
        <v>179.4</v>
      </c>
      <c r="AB370" s="1">
        <v>183.8</v>
      </c>
      <c r="AC370" s="1">
        <v>178.9</v>
      </c>
      <c r="AD370" s="1">
        <v>178.8</v>
      </c>
    </row>
    <row r="371" spans="1:30" x14ac:dyDescent="0.3">
      <c r="A371" s="1" t="s">
        <v>32</v>
      </c>
      <c r="B371" s="1">
        <v>2023</v>
      </c>
      <c r="C371" s="1" t="s">
        <v>38</v>
      </c>
      <c r="D371" s="1">
        <v>174.8</v>
      </c>
      <c r="E371" s="1">
        <v>213.7</v>
      </c>
      <c r="F371" s="1">
        <v>172.4</v>
      </c>
      <c r="G371" s="1">
        <v>178.8</v>
      </c>
      <c r="H371" s="1">
        <v>168.7</v>
      </c>
      <c r="I371" s="1">
        <v>179.2</v>
      </c>
      <c r="J371" s="1">
        <v>179.9</v>
      </c>
      <c r="K371" s="1">
        <v>174.7</v>
      </c>
      <c r="L371" s="1">
        <v>123.1</v>
      </c>
      <c r="M371" s="1">
        <v>207.8</v>
      </c>
      <c r="N371" s="1">
        <v>165.5</v>
      </c>
      <c r="O371" s="1">
        <v>197</v>
      </c>
      <c r="P371" s="1">
        <v>182.1</v>
      </c>
      <c r="Q371" s="1">
        <v>203.5</v>
      </c>
      <c r="R371" s="1">
        <v>181</v>
      </c>
      <c r="S371" s="1">
        <v>167.7</v>
      </c>
      <c r="T371" s="1">
        <v>178.9</v>
      </c>
      <c r="U371" s="1" t="s">
        <v>162</v>
      </c>
      <c r="V371" s="1">
        <v>182.1</v>
      </c>
      <c r="W371" s="1">
        <v>169.6</v>
      </c>
      <c r="X371" s="1">
        <v>181.5</v>
      </c>
      <c r="Y371" s="1">
        <v>160.1</v>
      </c>
      <c r="Z371" s="1">
        <v>168.8</v>
      </c>
      <c r="AA371" s="1">
        <v>174.2</v>
      </c>
      <c r="AB371" s="1">
        <v>184.4</v>
      </c>
      <c r="AC371" s="1">
        <v>170.9</v>
      </c>
      <c r="AD371" s="1">
        <v>177.4</v>
      </c>
    </row>
    <row r="372" spans="1:30" x14ac:dyDescent="0.3">
      <c r="A372" s="1" t="s">
        <v>34</v>
      </c>
      <c r="B372" s="1">
        <v>2023</v>
      </c>
      <c r="C372" s="1" t="s">
        <v>38</v>
      </c>
      <c r="D372" s="1">
        <v>173.8</v>
      </c>
      <c r="E372" s="1">
        <v>209.3</v>
      </c>
      <c r="F372" s="1">
        <v>169.6</v>
      </c>
      <c r="G372" s="1">
        <v>178.4</v>
      </c>
      <c r="H372" s="1">
        <v>174.9</v>
      </c>
      <c r="I372" s="1">
        <v>176.3</v>
      </c>
      <c r="J372" s="1">
        <v>155.4</v>
      </c>
      <c r="K372" s="1">
        <v>173.4</v>
      </c>
      <c r="L372" s="1">
        <v>121.3</v>
      </c>
      <c r="M372" s="1">
        <v>212.9</v>
      </c>
      <c r="N372" s="1">
        <v>172.9</v>
      </c>
      <c r="O372" s="1">
        <v>193.5</v>
      </c>
      <c r="P372" s="1">
        <v>177.9</v>
      </c>
      <c r="Q372" s="1">
        <v>200.6</v>
      </c>
      <c r="R372" s="1">
        <v>186.9</v>
      </c>
      <c r="S372" s="1">
        <v>179.2</v>
      </c>
      <c r="T372" s="1">
        <v>185.7</v>
      </c>
      <c r="U372" s="1" t="s">
        <v>162</v>
      </c>
      <c r="V372" s="1">
        <v>181.7</v>
      </c>
      <c r="W372" s="1">
        <v>174.6</v>
      </c>
      <c r="X372" s="1">
        <v>185</v>
      </c>
      <c r="Y372" s="1">
        <v>164.5</v>
      </c>
      <c r="Z372" s="1">
        <v>170.7</v>
      </c>
      <c r="AA372" s="1">
        <v>176.4</v>
      </c>
      <c r="AB372" s="1">
        <v>184</v>
      </c>
      <c r="AC372" s="1">
        <v>175</v>
      </c>
      <c r="AD372" s="1">
        <v>178.1</v>
      </c>
    </row>
    <row r="373" spans="1:30" x14ac:dyDescent="0.3">
      <c r="A373" s="1" t="s">
        <v>30</v>
      </c>
      <c r="B373" s="1">
        <v>2023</v>
      </c>
      <c r="C373" s="1" t="s">
        <v>40</v>
      </c>
      <c r="D373" s="1">
        <v>173.2</v>
      </c>
      <c r="E373" s="1">
        <v>211.5</v>
      </c>
      <c r="F373" s="1">
        <v>171</v>
      </c>
      <c r="G373" s="1">
        <v>179.6</v>
      </c>
      <c r="H373" s="1">
        <v>173.3</v>
      </c>
      <c r="I373" s="1">
        <v>169</v>
      </c>
      <c r="J373" s="1">
        <v>148.69999999999999</v>
      </c>
      <c r="K373" s="1">
        <v>174.9</v>
      </c>
      <c r="L373" s="1">
        <v>121.9</v>
      </c>
      <c r="M373" s="1">
        <v>221</v>
      </c>
      <c r="N373" s="1">
        <v>178.7</v>
      </c>
      <c r="O373" s="1">
        <v>191.1</v>
      </c>
      <c r="P373" s="1">
        <v>176.8</v>
      </c>
      <c r="Q373" s="1">
        <v>199.9</v>
      </c>
      <c r="R373" s="1">
        <v>191.2</v>
      </c>
      <c r="S373" s="1">
        <v>187.9</v>
      </c>
      <c r="T373" s="1">
        <v>190.8</v>
      </c>
      <c r="U373" s="1" t="s">
        <v>138</v>
      </c>
      <c r="V373" s="1">
        <v>182.5</v>
      </c>
      <c r="W373" s="1">
        <v>179.8</v>
      </c>
      <c r="X373" s="1">
        <v>187.8</v>
      </c>
      <c r="Y373" s="1">
        <v>169.7</v>
      </c>
      <c r="Z373" s="1">
        <v>173.8</v>
      </c>
      <c r="AA373" s="1">
        <v>180.3</v>
      </c>
      <c r="AB373" s="1">
        <v>184.9</v>
      </c>
      <c r="AC373" s="1">
        <v>179.5</v>
      </c>
      <c r="AD373" s="1">
        <v>179.8</v>
      </c>
    </row>
    <row r="374" spans="1:30" x14ac:dyDescent="0.3">
      <c r="A374" s="1" t="s">
        <v>32</v>
      </c>
      <c r="B374" s="1">
        <v>2023</v>
      </c>
      <c r="C374" s="1" t="s">
        <v>40</v>
      </c>
      <c r="D374" s="1">
        <v>174.7</v>
      </c>
      <c r="E374" s="1">
        <v>219.4</v>
      </c>
      <c r="F374" s="1">
        <v>176.7</v>
      </c>
      <c r="G374" s="1">
        <v>179.4</v>
      </c>
      <c r="H374" s="1">
        <v>164.4</v>
      </c>
      <c r="I374" s="1">
        <v>175.8</v>
      </c>
      <c r="J374" s="1">
        <v>185</v>
      </c>
      <c r="K374" s="1">
        <v>176.9</v>
      </c>
      <c r="L374" s="1">
        <v>124.2</v>
      </c>
      <c r="M374" s="1">
        <v>211.9</v>
      </c>
      <c r="N374" s="1">
        <v>165.9</v>
      </c>
      <c r="O374" s="1">
        <v>197.7</v>
      </c>
      <c r="P374" s="1">
        <v>183.1</v>
      </c>
      <c r="Q374" s="1">
        <v>204.2</v>
      </c>
      <c r="R374" s="1">
        <v>181.3</v>
      </c>
      <c r="S374" s="1">
        <v>168.1</v>
      </c>
      <c r="T374" s="1">
        <v>179.3</v>
      </c>
      <c r="U374" s="1" t="s">
        <v>163</v>
      </c>
      <c r="V374" s="1">
        <v>183.4</v>
      </c>
      <c r="W374" s="1">
        <v>170.1</v>
      </c>
      <c r="X374" s="1">
        <v>182.2</v>
      </c>
      <c r="Y374" s="1">
        <v>160.4</v>
      </c>
      <c r="Z374" s="1">
        <v>169.2</v>
      </c>
      <c r="AA374" s="1">
        <v>174.8</v>
      </c>
      <c r="AB374" s="1">
        <v>185.6</v>
      </c>
      <c r="AC374" s="1">
        <v>171.6</v>
      </c>
      <c r="AD374" s="1">
        <v>178.2</v>
      </c>
    </row>
    <row r="375" spans="1:30" x14ac:dyDescent="0.3">
      <c r="A375" s="1" t="s">
        <v>34</v>
      </c>
      <c r="B375" s="1">
        <v>2023</v>
      </c>
      <c r="C375" s="1" t="s">
        <v>40</v>
      </c>
      <c r="D375" s="1">
        <v>173.7</v>
      </c>
      <c r="E375" s="1">
        <v>214.3</v>
      </c>
      <c r="F375" s="1">
        <v>173.2</v>
      </c>
      <c r="G375" s="1">
        <v>179.5</v>
      </c>
      <c r="H375" s="1">
        <v>170</v>
      </c>
      <c r="I375" s="1">
        <v>172.2</v>
      </c>
      <c r="J375" s="1">
        <v>161</v>
      </c>
      <c r="K375" s="1">
        <v>175.6</v>
      </c>
      <c r="L375" s="1">
        <v>122.7</v>
      </c>
      <c r="M375" s="1">
        <v>218</v>
      </c>
      <c r="N375" s="1">
        <v>173.4</v>
      </c>
      <c r="O375" s="1">
        <v>194.2</v>
      </c>
      <c r="P375" s="1">
        <v>179.1</v>
      </c>
      <c r="Q375" s="1">
        <v>201</v>
      </c>
      <c r="R375" s="1">
        <v>187.3</v>
      </c>
      <c r="S375" s="1">
        <v>179.7</v>
      </c>
      <c r="T375" s="1">
        <v>186.2</v>
      </c>
      <c r="U375" s="1" t="s">
        <v>163</v>
      </c>
      <c r="V375" s="1">
        <v>182.8</v>
      </c>
      <c r="W375" s="1">
        <v>175.2</v>
      </c>
      <c r="X375" s="1">
        <v>185.7</v>
      </c>
      <c r="Y375" s="1">
        <v>164.8</v>
      </c>
      <c r="Z375" s="1">
        <v>171.2</v>
      </c>
      <c r="AA375" s="1">
        <v>177.1</v>
      </c>
      <c r="AB375" s="1">
        <v>185.2</v>
      </c>
      <c r="AC375" s="1">
        <v>175.7</v>
      </c>
      <c r="AD375" s="1">
        <v>179.1</v>
      </c>
    </row>
  </sheetData>
  <mergeCells count="9">
    <mergeCell ref="D1:P2"/>
    <mergeCell ref="R1:T2"/>
    <mergeCell ref="Y1:Y2"/>
    <mergeCell ref="AB1:AB2"/>
    <mergeCell ref="Q1:Q2"/>
    <mergeCell ref="U1:V2"/>
    <mergeCell ref="W1:X2"/>
    <mergeCell ref="AA1:AA2"/>
    <mergeCell ref="Z1:Z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7659A-67F0-4DE8-8745-B2873D287247}">
  <sheetPr filterMode="1"/>
  <dimension ref="A1:Z380"/>
  <sheetViews>
    <sheetView workbookViewId="0">
      <selection activeCell="F306" sqref="F306"/>
    </sheetView>
  </sheetViews>
  <sheetFormatPr defaultRowHeight="14.4" x14ac:dyDescent="0.3"/>
  <cols>
    <col min="1" max="1" width="11.88671875" bestFit="1" customWidth="1"/>
    <col min="2" max="2" width="8.6640625" customWidth="1"/>
    <col min="3" max="3" width="10.88671875" bestFit="1" customWidth="1"/>
    <col min="4" max="4" width="10.88671875" customWidth="1"/>
    <col min="6" max="6" width="12.6640625" bestFit="1" customWidth="1"/>
    <col min="7" max="7" width="12" bestFit="1" customWidth="1"/>
    <col min="8" max="8" width="12.6640625" bestFit="1" customWidth="1"/>
    <col min="9" max="9" width="23.109375" bestFit="1" customWidth="1"/>
    <col min="10" max="10" width="14" bestFit="1" customWidth="1"/>
    <col min="11" max="11" width="15.109375" bestFit="1" customWidth="1"/>
    <col min="12" max="12" width="14.33203125" bestFit="1" customWidth="1"/>
    <col min="13" max="13" width="17.88671875" bestFit="1" customWidth="1"/>
    <col min="14" max="14" width="14" bestFit="1" customWidth="1"/>
    <col min="15" max="15" width="13.6640625" bestFit="1" customWidth="1"/>
    <col min="19" max="19" width="10" customWidth="1"/>
    <col min="20" max="20" width="10.33203125" customWidth="1"/>
    <col min="21" max="21" width="8.88671875" customWidth="1"/>
    <col min="22" max="22" width="18.5546875" bestFit="1" customWidth="1"/>
    <col min="24" max="24" width="10.5546875" bestFit="1" customWidth="1"/>
    <col min="25" max="25" width="9.6640625" bestFit="1" customWidth="1"/>
    <col min="26" max="26" width="13.33203125" bestFit="1" customWidth="1"/>
  </cols>
  <sheetData>
    <row r="1" spans="1:26" x14ac:dyDescent="0.3">
      <c r="A1" s="44" t="s">
        <v>175</v>
      </c>
      <c r="B1" s="44"/>
      <c r="C1" s="44"/>
      <c r="D1" s="44"/>
      <c r="E1" s="44"/>
      <c r="F1" s="44"/>
      <c r="G1" s="44"/>
      <c r="H1" s="44"/>
      <c r="I1" s="44"/>
      <c r="J1" s="44"/>
      <c r="K1" s="44"/>
      <c r="L1" s="44"/>
      <c r="M1" s="44"/>
      <c r="N1" s="44"/>
      <c r="O1" s="44"/>
      <c r="P1" s="44"/>
      <c r="R1" s="45" t="s">
        <v>176</v>
      </c>
      <c r="S1" s="45"/>
      <c r="T1" s="45"/>
      <c r="U1" s="45"/>
      <c r="V1" s="45"/>
      <c r="W1" s="45"/>
      <c r="X1" s="45"/>
      <c r="Y1" s="45"/>
      <c r="Z1" s="45"/>
    </row>
    <row r="2" spans="1:26" x14ac:dyDescent="0.3">
      <c r="A2" s="44"/>
      <c r="B2" s="44"/>
      <c r="C2" s="44"/>
      <c r="D2" s="44"/>
      <c r="E2" s="44"/>
      <c r="F2" s="44"/>
      <c r="G2" s="44"/>
      <c r="H2" s="44"/>
      <c r="I2" s="44"/>
      <c r="J2" s="44"/>
      <c r="K2" s="44"/>
      <c r="L2" s="44"/>
      <c r="M2" s="44"/>
      <c r="N2" s="44"/>
      <c r="O2" s="44"/>
      <c r="P2" s="44"/>
      <c r="R2" s="45"/>
      <c r="S2" s="45"/>
      <c r="T2" s="45"/>
      <c r="U2" s="45"/>
      <c r="V2" s="45"/>
      <c r="W2" s="45"/>
      <c r="X2" s="45"/>
      <c r="Y2" s="45"/>
      <c r="Z2" s="45"/>
    </row>
    <row r="3" spans="1:26" x14ac:dyDescent="0.3">
      <c r="A3" s="8" t="s">
        <v>0</v>
      </c>
      <c r="B3" s="8" t="s">
        <v>1</v>
      </c>
      <c r="C3" s="8" t="s">
        <v>2</v>
      </c>
      <c r="D3" s="8"/>
      <c r="E3" s="8" t="s">
        <v>164</v>
      </c>
      <c r="F3" s="8" t="s">
        <v>171</v>
      </c>
      <c r="G3" s="8" t="s">
        <v>18</v>
      </c>
      <c r="H3" s="8" t="s">
        <v>20</v>
      </c>
      <c r="I3" s="8" t="s">
        <v>169</v>
      </c>
      <c r="J3" s="8" t="s">
        <v>166</v>
      </c>
      <c r="K3" s="8" t="s">
        <v>170</v>
      </c>
      <c r="L3" s="8" t="s">
        <v>26</v>
      </c>
      <c r="M3" s="8" t="s">
        <v>172</v>
      </c>
      <c r="N3" s="8" t="s">
        <v>28</v>
      </c>
      <c r="O3" s="8" t="s">
        <v>173</v>
      </c>
      <c r="P3" s="7" t="s">
        <v>174</v>
      </c>
      <c r="R3" s="8" t="s">
        <v>164</v>
      </c>
      <c r="S3" s="8" t="s">
        <v>171</v>
      </c>
      <c r="T3" s="8" t="s">
        <v>18</v>
      </c>
      <c r="U3" s="8" t="s">
        <v>20</v>
      </c>
      <c r="V3" s="8" t="s">
        <v>169</v>
      </c>
      <c r="W3" s="8" t="s">
        <v>166</v>
      </c>
      <c r="X3" s="8" t="s">
        <v>170</v>
      </c>
      <c r="Y3" s="8" t="s">
        <v>26</v>
      </c>
      <c r="Z3" s="8" t="s">
        <v>172</v>
      </c>
    </row>
    <row r="4" spans="1:26" hidden="1" x14ac:dyDescent="0.3">
      <c r="A4" s="3" t="s">
        <v>30</v>
      </c>
      <c r="B4" s="3">
        <v>2013</v>
      </c>
      <c r="C4" s="3" t="s">
        <v>31</v>
      </c>
      <c r="D4" s="21">
        <f>DATE(B4,MONTH(1&amp;C4),1)</f>
        <v>41275</v>
      </c>
      <c r="E4" s="4">
        <f>AVERAGE(All_India_Index_Upto_April23__1___1[[#This Row],[Cereals and products]:[Food and beverages]])</f>
        <v>105.5153846153846</v>
      </c>
      <c r="F4" s="5">
        <f>AVERAGE(All_India_Index_Upto_April23__1___1[[#This Row],[Pan, tobacco and intoxicants]])</f>
        <v>105.1</v>
      </c>
      <c r="G4" s="4">
        <f>AVERAGE(All_India_Index_Upto_April23__1___1[[#This Row],[Clothing]:[Clothing and footwear]])</f>
        <v>106.23333333333335</v>
      </c>
      <c r="H4" s="5">
        <f>AVERAGE(All_India_Index_Upto_April23__1___1[[#This Row],[Housing]:[Fuel and light]])</f>
        <v>105.5</v>
      </c>
      <c r="I4" s="5">
        <f>AVERAGE(All_India_Index_Upto_April23__1___1[[#This Row],[Household goods and services]:[Health]])</f>
        <v>104.4</v>
      </c>
      <c r="J4" s="5">
        <f>AVERAGE(All_India_Index_Upto_April23__1___1[[#This Row],[Transport and communication]])</f>
        <v>103.3</v>
      </c>
      <c r="K4" s="5">
        <f>AVERAGE(All_India_Index_Upto_April23__1___1[[#This Row],[Recreation and amusement]])</f>
        <v>103.4</v>
      </c>
      <c r="L4" s="5">
        <f>AVERAGE(All_India_Index_Upto_April23__1___1[[#This Row],[Education]])</f>
        <v>103.8</v>
      </c>
      <c r="M4" s="5">
        <f>AVERAGE(All_India_Index_Upto_April23__1___1[[#This Row],[Personal care and effects]])</f>
        <v>104.7</v>
      </c>
      <c r="N4" s="5">
        <f>AVERAGE(All_India_Index_Upto_April23__1___1[[#This Row],[Miscellaneous]])</f>
        <v>104</v>
      </c>
      <c r="O4" s="5">
        <f>AVERAGE(All_India_Index_Upto_April23__1___1[[#This Row],[General index]])</f>
        <v>105.1</v>
      </c>
      <c r="P4" s="2">
        <f>SUM(E4:M4)</f>
        <v>941.9487179487179</v>
      </c>
      <c r="R4" s="9">
        <f>E4/P4*100</f>
        <v>11.201818379790939</v>
      </c>
      <c r="S4" s="9">
        <f>F4/P4*100</f>
        <v>11.157719947735192</v>
      </c>
      <c r="T4" s="9">
        <f>G4/P4*100</f>
        <v>11.278037891986065</v>
      </c>
      <c r="U4" s="9">
        <f>H4/P4*100</f>
        <v>11.200185104529616</v>
      </c>
      <c r="V4" s="9">
        <f>I4/P4*100</f>
        <v>11.08340592334495</v>
      </c>
      <c r="W4" s="9">
        <f>J4/P4*100</f>
        <v>10.96662674216028</v>
      </c>
      <c r="X4" s="9">
        <f>K4/P4*100</f>
        <v>10.977243031358887</v>
      </c>
      <c r="Y4" s="9">
        <f>L4/P4*100</f>
        <v>11.019708188153309</v>
      </c>
      <c r="Z4" s="9">
        <f>M4/P4*100</f>
        <v>11.115254790940767</v>
      </c>
    </row>
    <row r="5" spans="1:26" hidden="1" x14ac:dyDescent="0.3">
      <c r="A5" s="5" t="s">
        <v>32</v>
      </c>
      <c r="B5" s="5">
        <v>2013</v>
      </c>
      <c r="C5" s="5" t="s">
        <v>31</v>
      </c>
      <c r="D5" s="21">
        <f t="shared" ref="D5:D68" si="0">DATE(B5,MONTH(1&amp;C5),1)</f>
        <v>41275</v>
      </c>
      <c r="E5" s="4">
        <f>AVERAGE(All_India_Index_Upto_April23__1___1[[#This Row],[Cereals and products]:[Food and beverages]])</f>
        <v>105.87692307692308</v>
      </c>
      <c r="F5" s="5">
        <f>AVERAGE(All_India_Index_Upto_April23__1___1[[#This Row],[Pan, tobacco and intoxicants]])</f>
        <v>105.2</v>
      </c>
      <c r="G5" s="4">
        <f>AVERAGE(All_India_Index_Upto_April23__1___1[[#This Row],[Clothing]:[Clothing and footwear]])</f>
        <v>105.56666666666666</v>
      </c>
      <c r="H5" s="5">
        <f>AVERAGE(All_India_Index_Upto_April23__1___1[[#This Row],[Housing]:[Fuel and light]])</f>
        <v>105.4</v>
      </c>
      <c r="I5" s="5">
        <f>AVERAGE(All_India_Index_Upto_April23__1___1[[#This Row],[Household goods and services]:[Health]])</f>
        <v>104.44999999999999</v>
      </c>
      <c r="J5" s="5">
        <f>AVERAGE(All_India_Index_Upto_April23__1___1[[#This Row],[Transport and communication]])</f>
        <v>103.2</v>
      </c>
      <c r="K5" s="5">
        <f>AVERAGE(All_India_Index_Upto_April23__1___1[[#This Row],[Recreation and amusement]])</f>
        <v>102.9</v>
      </c>
      <c r="L5" s="5">
        <f>AVERAGE(All_India_Index_Upto_April23__1___1[[#This Row],[Education]])</f>
        <v>103.5</v>
      </c>
      <c r="M5" s="5">
        <f>AVERAGE(All_India_Index_Upto_April23__1___1[[#This Row],[Personal care and effects]])</f>
        <v>104.3</v>
      </c>
      <c r="N5" s="5">
        <f>AVERAGE(All_India_Index_Upto_April23__1___1[[#This Row],[Miscellaneous]])</f>
        <v>103.7</v>
      </c>
      <c r="O5" s="5">
        <f>AVERAGE(All_India_Index_Upto_April23__1___1[[#This Row],[General index]])</f>
        <v>104</v>
      </c>
      <c r="P5" s="2">
        <f t="shared" ref="P5:P68" si="1">SUM(E5:M5)</f>
        <v>940.39358974358981</v>
      </c>
      <c r="R5" s="9">
        <f t="shared" ref="R5:R68" si="2">E5/P5*100</f>
        <v>11.258788259689409</v>
      </c>
      <c r="S5" s="9">
        <f t="shared" ref="S5:S68" si="3">F5/P5*100</f>
        <v>11.186805306561491</v>
      </c>
      <c r="T5" s="9">
        <f t="shared" ref="T5:T68" si="4">G5/P5*100</f>
        <v>11.225796072839113</v>
      </c>
      <c r="U5" s="9">
        <f t="shared" ref="U5:U68" si="5">H5/P5*100</f>
        <v>11.208072997258377</v>
      </c>
      <c r="V5" s="9">
        <f t="shared" ref="V5:V68" si="6">I5/P5*100</f>
        <v>11.107051466448171</v>
      </c>
      <c r="W5" s="9">
        <f t="shared" ref="W5:W68" si="7">J5/P5*100</f>
        <v>10.974128399592642</v>
      </c>
      <c r="X5" s="9">
        <f t="shared" ref="X5:X68" si="8">K5/P5*100</f>
        <v>10.942226863547315</v>
      </c>
      <c r="Y5" s="9">
        <f t="shared" ref="Y5:Y68" si="9">L5/P5*100</f>
        <v>11.006029935637969</v>
      </c>
      <c r="Z5" s="9">
        <f t="shared" ref="Z5:Z68" si="10">M5/P5*100</f>
        <v>11.091100698425508</v>
      </c>
    </row>
    <row r="6" spans="1:26" hidden="1" x14ac:dyDescent="0.3">
      <c r="A6" s="6" t="s">
        <v>34</v>
      </c>
      <c r="B6" s="6">
        <v>2013</v>
      </c>
      <c r="C6" s="6" t="s">
        <v>31</v>
      </c>
      <c r="D6" s="21">
        <f t="shared" si="0"/>
        <v>41275</v>
      </c>
      <c r="E6" s="4">
        <f>AVERAGE(All_India_Index_Upto_April23__1___1[[#This Row],[Cereals and products]:[Food and beverages]])</f>
        <v>105.63846153846156</v>
      </c>
      <c r="F6" s="5">
        <f>AVERAGE(All_India_Index_Upto_April23__1___1[[#This Row],[Pan, tobacco and intoxicants]])</f>
        <v>105.1</v>
      </c>
      <c r="G6" s="4">
        <f>AVERAGE(All_India_Index_Upto_April23__1___1[[#This Row],[Clothing]:[Clothing and footwear]])</f>
        <v>106</v>
      </c>
      <c r="H6" s="5">
        <f>AVERAGE(All_India_Index_Upto_April23__1___1[[#This Row],[Housing]:[Fuel and light]])</f>
        <v>102.9</v>
      </c>
      <c r="I6" s="5">
        <f>AVERAGE(All_India_Index_Upto_April23__1___1[[#This Row],[Household goods and services]:[Health]])</f>
        <v>104.4</v>
      </c>
      <c r="J6" s="5">
        <f>AVERAGE(All_India_Index_Upto_April23__1___1[[#This Row],[Transport and communication]])</f>
        <v>103.2</v>
      </c>
      <c r="K6" s="5">
        <f>AVERAGE(All_India_Index_Upto_April23__1___1[[#This Row],[Recreation and amusement]])</f>
        <v>103.1</v>
      </c>
      <c r="L6" s="5">
        <f>AVERAGE(All_India_Index_Upto_April23__1___1[[#This Row],[Education]])</f>
        <v>103.6</v>
      </c>
      <c r="M6" s="5">
        <f>AVERAGE(All_India_Index_Upto_April23__1___1[[#This Row],[Personal care and effects]])</f>
        <v>104.5</v>
      </c>
      <c r="N6" s="5">
        <f>AVERAGE(All_India_Index_Upto_April23__1___1[[#This Row],[Miscellaneous]])</f>
        <v>103.9</v>
      </c>
      <c r="O6" s="5">
        <f>AVERAGE(All_India_Index_Upto_April23__1___1[[#This Row],[General index]])</f>
        <v>104.6</v>
      </c>
      <c r="P6" s="2">
        <f>AVERAGE(E6:N6)</f>
        <v>104.23384615384616</v>
      </c>
      <c r="R6" s="9">
        <f t="shared" ref="R6:R11" si="11">E6/P6*100</f>
        <v>101.34756169559572</v>
      </c>
      <c r="S6" s="9">
        <f t="shared" ref="S6:S11" si="12">F6/P6*100</f>
        <v>100.83097177943085</v>
      </c>
      <c r="T6" s="9">
        <f t="shared" ref="T6:T11" si="13">G6/P6*100</f>
        <v>101.69441492502065</v>
      </c>
      <c r="U6" s="9">
        <f t="shared" ref="U6:U11" si="14">H6/P6*100</f>
        <v>98.720332979100249</v>
      </c>
      <c r="V6" s="9">
        <f t="shared" ref="V6:V11" si="15">I6/P6*100</f>
        <v>100.15940488841657</v>
      </c>
      <c r="W6" s="9">
        <f t="shared" ref="W6:W11" si="16">J6/P6*100</f>
        <v>99.00814736096352</v>
      </c>
      <c r="X6" s="9">
        <f t="shared" ref="X6:X11" si="17">K6/P6*100</f>
        <v>98.912209233675753</v>
      </c>
      <c r="Y6" s="9">
        <f t="shared" ref="Y6:Y11" si="18">L6/P6*100</f>
        <v>99.391899870114528</v>
      </c>
      <c r="Z6" s="9">
        <f t="shared" ref="Z6:Z11" si="19">M6/P6*100</f>
        <v>100.25534301570434</v>
      </c>
    </row>
    <row r="7" spans="1:26" hidden="1" x14ac:dyDescent="0.3">
      <c r="A7" s="5" t="s">
        <v>30</v>
      </c>
      <c r="B7" s="5">
        <v>2013</v>
      </c>
      <c r="C7" s="5" t="s">
        <v>35</v>
      </c>
      <c r="D7" s="21">
        <f t="shared" si="0"/>
        <v>41306</v>
      </c>
      <c r="E7" s="4">
        <f>AVERAGE(All_India_Index_Upto_April23__1___1[[#This Row],[Cereals and products]:[Food and beverages]])</f>
        <v>106.18461538461537</v>
      </c>
      <c r="F7" s="5">
        <f>AVERAGE(All_India_Index_Upto_April23__1___1[[#This Row],[Pan, tobacco and intoxicants]])</f>
        <v>105.6</v>
      </c>
      <c r="G7" s="4">
        <f>AVERAGE(All_India_Index_Upto_April23__1___1[[#This Row],[Clothing]:[Clothing and footwear]])</f>
        <v>106.8</v>
      </c>
      <c r="H7" s="5">
        <f>AVERAGE(All_India_Index_Upto_April23__1___1[[#This Row],[Housing]:[Fuel and light]])</f>
        <v>106.2</v>
      </c>
      <c r="I7" s="5">
        <f>AVERAGE(All_India_Index_Upto_April23__1___1[[#This Row],[Household goods and services]:[Health]])</f>
        <v>104.80000000000001</v>
      </c>
      <c r="J7" s="5">
        <f>AVERAGE(All_India_Index_Upto_April23__1___1[[#This Row],[Transport and communication]])</f>
        <v>103.9</v>
      </c>
      <c r="K7" s="5">
        <f>AVERAGE(All_India_Index_Upto_April23__1___1[[#This Row],[Recreation and amusement]])</f>
        <v>104</v>
      </c>
      <c r="L7" s="5">
        <f>AVERAGE(All_India_Index_Upto_April23__1___1[[#This Row],[Education]])</f>
        <v>104.1</v>
      </c>
      <c r="M7" s="5">
        <f>AVERAGE(All_India_Index_Upto_April23__1___1[[#This Row],[Personal care and effects]])</f>
        <v>104.6</v>
      </c>
      <c r="N7" s="5">
        <f>AVERAGE(All_India_Index_Upto_April23__1___1[[#This Row],[Miscellaneous]])</f>
        <v>104.4</v>
      </c>
      <c r="O7" s="5">
        <f>AVERAGE(All_India_Index_Upto_April23__1___1[[#This Row],[General index]])</f>
        <v>105.8</v>
      </c>
      <c r="P7" s="2">
        <f>SUM(E7:M7)</f>
        <v>946.18461538461531</v>
      </c>
      <c r="R7" s="9">
        <f t="shared" si="11"/>
        <v>11.222399271568403</v>
      </c>
      <c r="S7" s="9">
        <f t="shared" si="12"/>
        <v>11.16061266300283</v>
      </c>
      <c r="T7" s="9">
        <f t="shared" si="13"/>
        <v>11.28743780690059</v>
      </c>
      <c r="U7" s="9">
        <f t="shared" si="14"/>
        <v>11.224025234951709</v>
      </c>
      <c r="V7" s="9">
        <f t="shared" si="15"/>
        <v>11.076062567070991</v>
      </c>
      <c r="W7" s="9">
        <f t="shared" si="16"/>
        <v>10.98094370914767</v>
      </c>
      <c r="X7" s="9">
        <f t="shared" si="17"/>
        <v>10.991512471139151</v>
      </c>
      <c r="Y7" s="9">
        <f t="shared" si="18"/>
        <v>11.00208123313063</v>
      </c>
      <c r="Z7" s="9">
        <f t="shared" si="19"/>
        <v>11.05492504308803</v>
      </c>
    </row>
    <row r="8" spans="1:26" hidden="1" x14ac:dyDescent="0.3">
      <c r="A8" s="6" t="s">
        <v>32</v>
      </c>
      <c r="B8" s="6">
        <v>2013</v>
      </c>
      <c r="C8" s="6" t="s">
        <v>35</v>
      </c>
      <c r="D8" s="21">
        <f t="shared" si="0"/>
        <v>41306</v>
      </c>
      <c r="E8" s="4">
        <f>AVERAGE(All_India_Index_Upto_April23__1___1[[#This Row],[Cereals and products]:[Food and beverages]])</f>
        <v>106.96923076923078</v>
      </c>
      <c r="F8" s="5">
        <f>AVERAGE(All_India_Index_Upto_April23__1___1[[#This Row],[Pan, tobacco and intoxicants]])</f>
        <v>106</v>
      </c>
      <c r="G8" s="4">
        <f>AVERAGE(All_India_Index_Upto_April23__1___1[[#This Row],[Clothing]:[Clothing and footwear]])</f>
        <v>106.16666666666667</v>
      </c>
      <c r="H8" s="5">
        <f>AVERAGE(All_India_Index_Upto_April23__1___1[[#This Row],[Housing]:[Fuel and light]])</f>
        <v>105.7</v>
      </c>
      <c r="I8" s="5">
        <f>AVERAGE(All_India_Index_Upto_April23__1___1[[#This Row],[Household goods and services]:[Health]])</f>
        <v>104.95</v>
      </c>
      <c r="J8" s="5">
        <f>AVERAGE(All_India_Index_Upto_April23__1___1[[#This Row],[Transport and communication]])</f>
        <v>104.4</v>
      </c>
      <c r="K8" s="5">
        <f>AVERAGE(All_India_Index_Upto_April23__1___1[[#This Row],[Recreation and amusement]])</f>
        <v>103.3</v>
      </c>
      <c r="L8" s="5">
        <f>AVERAGE(All_India_Index_Upto_April23__1___1[[#This Row],[Education]])</f>
        <v>103.7</v>
      </c>
      <c r="M8" s="5">
        <f>AVERAGE(All_India_Index_Upto_April23__1___1[[#This Row],[Personal care and effects]])</f>
        <v>104.3</v>
      </c>
      <c r="N8" s="5">
        <f>AVERAGE(All_India_Index_Upto_April23__1___1[[#This Row],[Miscellaneous]])</f>
        <v>104.3</v>
      </c>
      <c r="O8" s="5">
        <f>AVERAGE(All_India_Index_Upto_April23__1___1[[#This Row],[General index]])</f>
        <v>104.7</v>
      </c>
      <c r="P8" s="2">
        <f>SUM(E8:M8)</f>
        <v>945.48589743589741</v>
      </c>
      <c r="R8" s="9">
        <f t="shared" si="11"/>
        <v>11.313678084392913</v>
      </c>
      <c r="S8" s="9">
        <f t="shared" si="12"/>
        <v>11.211166690848147</v>
      </c>
      <c r="T8" s="9">
        <f t="shared" si="13"/>
        <v>11.228794311431242</v>
      </c>
      <c r="U8" s="9">
        <f t="shared" si="14"/>
        <v>11.179436973798577</v>
      </c>
      <c r="V8" s="9">
        <f t="shared" si="15"/>
        <v>11.10011268117465</v>
      </c>
      <c r="W8" s="9">
        <f t="shared" si="16"/>
        <v>11.041941533250439</v>
      </c>
      <c r="X8" s="9">
        <f t="shared" si="17"/>
        <v>10.925599237402015</v>
      </c>
      <c r="Y8" s="9">
        <f t="shared" si="18"/>
        <v>10.967905526801442</v>
      </c>
      <c r="Z8" s="9">
        <f t="shared" si="19"/>
        <v>11.031364960900582</v>
      </c>
    </row>
    <row r="9" spans="1:26" hidden="1" x14ac:dyDescent="0.3">
      <c r="A9" s="5" t="s">
        <v>34</v>
      </c>
      <c r="B9" s="5">
        <v>2013</v>
      </c>
      <c r="C9" s="5" t="s">
        <v>35</v>
      </c>
      <c r="D9" s="21">
        <f t="shared" si="0"/>
        <v>41306</v>
      </c>
      <c r="E9" s="4">
        <f>AVERAGE(All_India_Index_Upto_April23__1___1[[#This Row],[Cereals and products]:[Food and beverages]])</f>
        <v>106.47692307692309</v>
      </c>
      <c r="F9" s="5">
        <f>AVERAGE(All_India_Index_Upto_April23__1___1[[#This Row],[Pan, tobacco and intoxicants]])</f>
        <v>105.7</v>
      </c>
      <c r="G9" s="4">
        <f>AVERAGE(All_India_Index_Upto_April23__1___1[[#This Row],[Clothing]:[Clothing and footwear]])</f>
        <v>106.56666666666666</v>
      </c>
      <c r="H9" s="5">
        <f>AVERAGE(All_India_Index_Upto_April23__1___1[[#This Row],[Housing]:[Fuel and light]])</f>
        <v>106</v>
      </c>
      <c r="I9" s="5">
        <f>AVERAGE(All_India_Index_Upto_April23__1___1[[#This Row],[Household goods and services]:[Health]])</f>
        <v>104.85</v>
      </c>
      <c r="J9" s="5">
        <f>AVERAGE(All_India_Index_Upto_April23__1___1[[#This Row],[Transport and communication]])</f>
        <v>104.2</v>
      </c>
      <c r="K9" s="5">
        <f>AVERAGE(All_India_Index_Upto_April23__1___1[[#This Row],[Recreation and amusement]])</f>
        <v>103.6</v>
      </c>
      <c r="L9" s="5">
        <f>AVERAGE(All_India_Index_Upto_April23__1___1[[#This Row],[Education]])</f>
        <v>103.9</v>
      </c>
      <c r="M9" s="5">
        <f>AVERAGE(All_India_Index_Upto_April23__1___1[[#This Row],[Personal care and effects]])</f>
        <v>104.5</v>
      </c>
      <c r="N9" s="5">
        <f>AVERAGE(All_India_Index_Upto_April23__1___1[[#This Row],[Miscellaneous]])</f>
        <v>104.4</v>
      </c>
      <c r="O9" s="5">
        <f>AVERAGE(All_India_Index_Upto_April23__1___1[[#This Row],[General index]])</f>
        <v>105.3</v>
      </c>
      <c r="P9" s="2">
        <f>AVERAGE(E9:N9)</f>
        <v>105.01935897435899</v>
      </c>
      <c r="R9" s="9">
        <f t="shared" si="11"/>
        <v>101.38790039931587</v>
      </c>
      <c r="S9" s="9">
        <f t="shared" si="12"/>
        <v>100.64811005541101</v>
      </c>
      <c r="T9" s="9">
        <f t="shared" si="13"/>
        <v>101.47335472946988</v>
      </c>
      <c r="U9" s="9">
        <f t="shared" si="14"/>
        <v>100.93377167335447</v>
      </c>
      <c r="V9" s="9">
        <f t="shared" si="15"/>
        <v>99.838735471237882</v>
      </c>
      <c r="W9" s="9">
        <f t="shared" si="16"/>
        <v>99.219801965693733</v>
      </c>
      <c r="X9" s="9">
        <f t="shared" si="17"/>
        <v>98.648478729806811</v>
      </c>
      <c r="Y9" s="9">
        <f t="shared" si="18"/>
        <v>98.934140347750272</v>
      </c>
      <c r="Z9" s="9">
        <f t="shared" si="19"/>
        <v>99.505463583637194</v>
      </c>
    </row>
    <row r="10" spans="1:26" hidden="1" x14ac:dyDescent="0.3">
      <c r="A10" s="6" t="s">
        <v>30</v>
      </c>
      <c r="B10" s="6">
        <v>2013</v>
      </c>
      <c r="C10" s="6" t="s">
        <v>37</v>
      </c>
      <c r="D10" s="21">
        <f t="shared" si="0"/>
        <v>41334</v>
      </c>
      <c r="E10" s="4">
        <f>AVERAGE(All_India_Index_Upto_April23__1___1[[#This Row],[Cereals and products]:[Food and beverages]])</f>
        <v>106.32307692307693</v>
      </c>
      <c r="F10" s="5">
        <f>AVERAGE(All_India_Index_Upto_April23__1___1[[#This Row],[Pan, tobacco and intoxicants]])</f>
        <v>106.5</v>
      </c>
      <c r="G10" s="4">
        <f>AVERAGE(All_India_Index_Upto_April23__1___1[[#This Row],[Clothing]:[Clothing and footwear]])</f>
        <v>107.3</v>
      </c>
      <c r="H10" s="5">
        <f>AVERAGE(All_India_Index_Upto_April23__1___1[[#This Row],[Housing]:[Fuel and light]])</f>
        <v>106.1</v>
      </c>
      <c r="I10" s="5">
        <f>AVERAGE(All_India_Index_Upto_April23__1___1[[#This Row],[Household goods and services]:[Health]])</f>
        <v>105.15</v>
      </c>
      <c r="J10" s="5">
        <f>AVERAGE(All_India_Index_Upto_April23__1___1[[#This Row],[Transport and communication]])</f>
        <v>104.6</v>
      </c>
      <c r="K10" s="5">
        <f>AVERAGE(All_India_Index_Upto_April23__1___1[[#This Row],[Recreation and amusement]])</f>
        <v>104</v>
      </c>
      <c r="L10" s="5">
        <f>AVERAGE(All_India_Index_Upto_April23__1___1[[#This Row],[Education]])</f>
        <v>104.3</v>
      </c>
      <c r="M10" s="5">
        <f>AVERAGE(All_India_Index_Upto_April23__1___1[[#This Row],[Personal care and effects]])</f>
        <v>104.3</v>
      </c>
      <c r="N10" s="5">
        <f>AVERAGE(All_India_Index_Upto_April23__1___1[[#This Row],[Miscellaneous]])</f>
        <v>104.6</v>
      </c>
      <c r="O10" s="5">
        <f>AVERAGE(All_India_Index_Upto_April23__1___1[[#This Row],[General index]])</f>
        <v>106</v>
      </c>
      <c r="P10" s="2">
        <f t="shared" si="1"/>
        <v>948.57307692307688</v>
      </c>
      <c r="R10" s="9">
        <f t="shared" si="11"/>
        <v>11.208738631709977</v>
      </c>
      <c r="S10" s="9">
        <f t="shared" si="12"/>
        <v>11.227390128492594</v>
      </c>
      <c r="T10" s="9">
        <f t="shared" si="13"/>
        <v>11.311727331335732</v>
      </c>
      <c r="U10" s="9">
        <f t="shared" si="14"/>
        <v>11.185221527071025</v>
      </c>
      <c r="V10" s="9">
        <f t="shared" si="15"/>
        <v>11.085071098694801</v>
      </c>
      <c r="W10" s="9">
        <f t="shared" si="16"/>
        <v>11.027089271740143</v>
      </c>
      <c r="X10" s="9">
        <f t="shared" si="17"/>
        <v>10.963836369607792</v>
      </c>
      <c r="Y10" s="9">
        <f t="shared" si="18"/>
        <v>10.995462820673968</v>
      </c>
      <c r="Z10" s="9">
        <f t="shared" si="19"/>
        <v>10.995462820673968</v>
      </c>
    </row>
    <row r="11" spans="1:26" hidden="1" x14ac:dyDescent="0.3">
      <c r="A11" s="5" t="s">
        <v>32</v>
      </c>
      <c r="B11" s="5">
        <v>2013</v>
      </c>
      <c r="C11" s="5" t="s">
        <v>37</v>
      </c>
      <c r="D11" s="21">
        <f t="shared" si="0"/>
        <v>41334</v>
      </c>
      <c r="E11" s="4">
        <f>AVERAGE(All_India_Index_Upto_April23__1___1[[#This Row],[Cereals and products]:[Food and beverages]])</f>
        <v>106.67692307692307</v>
      </c>
      <c r="F11" s="5">
        <f>AVERAGE(All_India_Index_Upto_April23__1___1[[#This Row],[Pan, tobacco and intoxicants]])</f>
        <v>106.8</v>
      </c>
      <c r="G11" s="4">
        <f>AVERAGE(All_India_Index_Upto_April23__1___1[[#This Row],[Clothing]:[Clothing and footwear]])</f>
        <v>106.73333333333333</v>
      </c>
      <c r="H11" s="5">
        <f>AVERAGE(All_India_Index_Upto_April23__1___1[[#This Row],[Housing]:[Fuel and light]])</f>
        <v>106</v>
      </c>
      <c r="I11" s="5">
        <f>AVERAGE(All_India_Index_Upto_April23__1___1[[#This Row],[Household goods and services]:[Health]])</f>
        <v>105.45</v>
      </c>
      <c r="J11" s="5">
        <f>AVERAGE(All_India_Index_Upto_April23__1___1[[#This Row],[Transport and communication]])</f>
        <v>105.5</v>
      </c>
      <c r="K11" s="5">
        <f>AVERAGE(All_India_Index_Upto_April23__1___1[[#This Row],[Recreation and amusement]])</f>
        <v>103.5</v>
      </c>
      <c r="L11" s="5">
        <f>AVERAGE(All_India_Index_Upto_April23__1___1[[#This Row],[Education]])</f>
        <v>103.8</v>
      </c>
      <c r="M11" s="5">
        <f>AVERAGE(All_India_Index_Upto_April23__1___1[[#This Row],[Personal care and effects]])</f>
        <v>104.2</v>
      </c>
      <c r="N11" s="5">
        <f>AVERAGE(All_India_Index_Upto_April23__1___1[[#This Row],[Miscellaneous]])</f>
        <v>104.9</v>
      </c>
      <c r="O11" s="5">
        <f>AVERAGE(All_India_Index_Upto_April23__1___1[[#This Row],[General index]])</f>
        <v>105</v>
      </c>
      <c r="P11" s="2">
        <f t="shared" si="1"/>
        <v>948.66025641025647</v>
      </c>
      <c r="R11" s="9">
        <f t="shared" si="11"/>
        <v>11.245008142387036</v>
      </c>
      <c r="S11" s="9">
        <f t="shared" si="12"/>
        <v>11.257981904304991</v>
      </c>
      <c r="T11" s="9">
        <f t="shared" si="13"/>
        <v>11.250954449932765</v>
      </c>
      <c r="U11" s="9">
        <f t="shared" si="14"/>
        <v>11.173652451838286</v>
      </c>
      <c r="V11" s="9">
        <f t="shared" si="15"/>
        <v>11.115675953267429</v>
      </c>
      <c r="W11" s="9">
        <f t="shared" si="16"/>
        <v>11.120946544046596</v>
      </c>
      <c r="X11" s="9">
        <f t="shared" si="17"/>
        <v>10.910122912879837</v>
      </c>
      <c r="Y11" s="9">
        <f t="shared" si="18"/>
        <v>10.941746457554851</v>
      </c>
      <c r="Z11" s="9">
        <f t="shared" si="19"/>
        <v>10.983911183788203</v>
      </c>
    </row>
    <row r="12" spans="1:26" hidden="1" x14ac:dyDescent="0.3">
      <c r="A12" s="6" t="s">
        <v>34</v>
      </c>
      <c r="B12" s="6">
        <v>2013</v>
      </c>
      <c r="C12" s="6" t="s">
        <v>37</v>
      </c>
      <c r="D12" s="21">
        <f t="shared" si="0"/>
        <v>41334</v>
      </c>
      <c r="E12" s="4">
        <f>AVERAGE(All_India_Index_Upto_April23__1___1[[#This Row],[Cereals and products]:[Food and beverages]])</f>
        <v>106.46153846153848</v>
      </c>
      <c r="F12" s="5">
        <f>AVERAGE(All_India_Index_Upto_April23__1___1[[#This Row],[Pan, tobacco and intoxicants]])</f>
        <v>106.6</v>
      </c>
      <c r="G12" s="4">
        <f>AVERAGE(All_India_Index_Upto_April23__1___1[[#This Row],[Clothing]:[Clothing and footwear]])</f>
        <v>107.06666666666666</v>
      </c>
      <c r="H12" s="5">
        <f>AVERAGE(All_India_Index_Upto_April23__1___1[[#This Row],[Housing]:[Fuel and light]])</f>
        <v>106.1</v>
      </c>
      <c r="I12" s="5">
        <f>AVERAGE(All_India_Index_Upto_April23__1___1[[#This Row],[Household goods and services]:[Health]])</f>
        <v>105.25</v>
      </c>
      <c r="J12" s="5">
        <f>AVERAGE(All_India_Index_Upto_April23__1___1[[#This Row],[Transport and communication]])</f>
        <v>105.1</v>
      </c>
      <c r="K12" s="5">
        <f>AVERAGE(All_India_Index_Upto_April23__1___1[[#This Row],[Recreation and amusement]])</f>
        <v>103.7</v>
      </c>
      <c r="L12" s="5">
        <f>AVERAGE(All_India_Index_Upto_April23__1___1[[#This Row],[Education]])</f>
        <v>104</v>
      </c>
      <c r="M12" s="5">
        <f>AVERAGE(All_India_Index_Upto_April23__1___1[[#This Row],[Personal care and effects]])</f>
        <v>104.3</v>
      </c>
      <c r="N12" s="5">
        <f>AVERAGE(All_India_Index_Upto_April23__1___1[[#This Row],[Miscellaneous]])</f>
        <v>104.7</v>
      </c>
      <c r="O12" s="5">
        <f>AVERAGE(All_India_Index_Upto_April23__1___1[[#This Row],[General index]])</f>
        <v>105.5</v>
      </c>
      <c r="P12" s="2">
        <f>AVERAGE(E12:N12)</f>
        <v>105.32782051282052</v>
      </c>
      <c r="R12" s="9">
        <f t="shared" si="2"/>
        <v>101.07637084219354</v>
      </c>
      <c r="S12" s="9">
        <f t="shared" si="3"/>
        <v>101.20782854993627</v>
      </c>
      <c r="T12" s="9">
        <f t="shared" si="4"/>
        <v>101.65088971306919</v>
      </c>
      <c r="U12" s="9">
        <f t="shared" si="5"/>
        <v>100.73312016086527</v>
      </c>
      <c r="V12" s="9">
        <f t="shared" si="6"/>
        <v>99.926115899444582</v>
      </c>
      <c r="W12" s="9">
        <f t="shared" si="7"/>
        <v>99.783703382723274</v>
      </c>
      <c r="X12" s="9">
        <f t="shared" si="8"/>
        <v>98.454519893324502</v>
      </c>
      <c r="Y12" s="9">
        <f t="shared" si="9"/>
        <v>98.739344926767089</v>
      </c>
      <c r="Z12" s="9">
        <f t="shared" si="10"/>
        <v>99.02416996020969</v>
      </c>
    </row>
    <row r="13" spans="1:26" hidden="1" x14ac:dyDescent="0.3">
      <c r="A13" s="5" t="s">
        <v>30</v>
      </c>
      <c r="B13" s="5">
        <v>2013</v>
      </c>
      <c r="C13" s="5" t="s">
        <v>38</v>
      </c>
      <c r="D13" s="21">
        <f t="shared" si="0"/>
        <v>41365</v>
      </c>
      <c r="E13" s="4">
        <f>AVERAGE(All_India_Index_Upto_April23__1___1[[#This Row],[Cereals and products]:[Food and beverages]])</f>
        <v>106.6</v>
      </c>
      <c r="F13" s="5">
        <f>AVERAGE(All_India_Index_Upto_April23__1___1[[#This Row],[Pan, tobacco and intoxicants]])</f>
        <v>107.1</v>
      </c>
      <c r="G13" s="4">
        <f>AVERAGE(All_India_Index_Upto_April23__1___1[[#This Row],[Clothing]:[Clothing and footwear]])</f>
        <v>107.83333333333333</v>
      </c>
      <c r="H13" s="5">
        <f>AVERAGE(All_India_Index_Upto_April23__1___1[[#This Row],[Housing]:[Fuel and light]])</f>
        <v>106.5</v>
      </c>
      <c r="I13" s="5">
        <f>AVERAGE(All_India_Index_Upto_April23__1___1[[#This Row],[Household goods and services]:[Health]])</f>
        <v>105.6</v>
      </c>
      <c r="J13" s="5">
        <f>AVERAGE(All_India_Index_Upto_April23__1___1[[#This Row],[Transport and communication]])</f>
        <v>104.4</v>
      </c>
      <c r="K13" s="5">
        <f>AVERAGE(All_India_Index_Upto_April23__1___1[[#This Row],[Recreation and amusement]])</f>
        <v>104.5</v>
      </c>
      <c r="L13" s="5">
        <f>AVERAGE(All_India_Index_Upto_April23__1___1[[#This Row],[Education]])</f>
        <v>104.8</v>
      </c>
      <c r="M13" s="5">
        <f>AVERAGE(All_India_Index_Upto_April23__1___1[[#This Row],[Personal care and effects]])</f>
        <v>102.7</v>
      </c>
      <c r="N13" s="5">
        <f>AVERAGE(All_India_Index_Upto_April23__1___1[[#This Row],[Miscellaneous]])</f>
        <v>104.6</v>
      </c>
      <c r="O13" s="5">
        <f>AVERAGE(All_India_Index_Upto_April23__1___1[[#This Row],[General index]])</f>
        <v>106.4</v>
      </c>
      <c r="P13" s="2">
        <f t="shared" si="1"/>
        <v>950.0333333333333</v>
      </c>
      <c r="R13" s="9">
        <f t="shared" si="2"/>
        <v>11.220658924248273</v>
      </c>
      <c r="S13" s="9">
        <f t="shared" si="3"/>
        <v>11.273288656538368</v>
      </c>
      <c r="T13" s="9">
        <f t="shared" si="4"/>
        <v>11.35047893056384</v>
      </c>
      <c r="U13" s="9">
        <f t="shared" si="5"/>
        <v>11.210132977790254</v>
      </c>
      <c r="V13" s="9">
        <f t="shared" si="6"/>
        <v>11.115399459668081</v>
      </c>
      <c r="W13" s="9">
        <f t="shared" si="7"/>
        <v>10.989088102171854</v>
      </c>
      <c r="X13" s="9">
        <f t="shared" si="8"/>
        <v>10.999614048629873</v>
      </c>
      <c r="Y13" s="9">
        <f t="shared" si="9"/>
        <v>11.03119188800393</v>
      </c>
      <c r="Z13" s="9">
        <f t="shared" si="10"/>
        <v>10.810147012385531</v>
      </c>
    </row>
    <row r="14" spans="1:26" hidden="1" x14ac:dyDescent="0.3">
      <c r="A14" s="6" t="s">
        <v>32</v>
      </c>
      <c r="B14" s="6">
        <v>2013</v>
      </c>
      <c r="C14" s="6" t="s">
        <v>38</v>
      </c>
      <c r="D14" s="21">
        <f t="shared" si="0"/>
        <v>41365</v>
      </c>
      <c r="E14" s="4">
        <f>AVERAGE(All_India_Index_Upto_April23__1___1[[#This Row],[Cereals and products]:[Food and beverages]])</f>
        <v>107.5153846153846</v>
      </c>
      <c r="F14" s="5">
        <f>AVERAGE(All_India_Index_Upto_April23__1___1[[#This Row],[Pan, tobacco and intoxicants]])</f>
        <v>108.5</v>
      </c>
      <c r="G14" s="4">
        <f>AVERAGE(All_India_Index_Upto_April23__1___1[[#This Row],[Clothing]:[Clothing and footwear]])</f>
        <v>107.33333333333333</v>
      </c>
      <c r="H14" s="5">
        <f>AVERAGE(All_India_Index_Upto_April23__1___1[[#This Row],[Housing]:[Fuel and light]])</f>
        <v>106.4</v>
      </c>
      <c r="I14" s="5">
        <f>AVERAGE(All_India_Index_Upto_April23__1___1[[#This Row],[Household goods and services]:[Health]])</f>
        <v>106.1</v>
      </c>
      <c r="J14" s="5">
        <f>AVERAGE(All_India_Index_Upto_April23__1___1[[#This Row],[Transport and communication]])</f>
        <v>105</v>
      </c>
      <c r="K14" s="5">
        <f>AVERAGE(All_India_Index_Upto_April23__1___1[[#This Row],[Recreation and amusement]])</f>
        <v>104</v>
      </c>
      <c r="L14" s="5">
        <f>AVERAGE(All_India_Index_Upto_April23__1___1[[#This Row],[Education]])</f>
        <v>105.2</v>
      </c>
      <c r="M14" s="5">
        <f>AVERAGE(All_India_Index_Upto_April23__1___1[[#This Row],[Personal care and effects]])</f>
        <v>103.2</v>
      </c>
      <c r="N14" s="5">
        <f>AVERAGE(All_India_Index_Upto_April23__1___1[[#This Row],[Miscellaneous]])</f>
        <v>105.1</v>
      </c>
      <c r="O14" s="5">
        <f>AVERAGE(All_India_Index_Upto_April23__1___1[[#This Row],[General index]])</f>
        <v>105.7</v>
      </c>
      <c r="P14" s="2">
        <f t="shared" si="1"/>
        <v>953.24871794871808</v>
      </c>
      <c r="R14" s="9">
        <f t="shared" si="2"/>
        <v>11.27883862741986</v>
      </c>
      <c r="S14" s="9">
        <f t="shared" si="3"/>
        <v>11.382129129266447</v>
      </c>
      <c r="T14" s="9">
        <f t="shared" si="4"/>
        <v>11.259740644005516</v>
      </c>
      <c r="U14" s="9">
        <f t="shared" si="5"/>
        <v>11.161829855796775</v>
      </c>
      <c r="V14" s="9">
        <f t="shared" si="6"/>
        <v>11.130358531015391</v>
      </c>
      <c r="W14" s="9">
        <f t="shared" si="7"/>
        <v>11.01496367348366</v>
      </c>
      <c r="X14" s="9">
        <f t="shared" si="8"/>
        <v>10.910059257545718</v>
      </c>
      <c r="Y14" s="9">
        <f t="shared" si="9"/>
        <v>11.035944556671247</v>
      </c>
      <c r="Z14" s="9">
        <f t="shared" si="10"/>
        <v>10.826135724795368</v>
      </c>
    </row>
    <row r="15" spans="1:26" hidden="1" x14ac:dyDescent="0.3">
      <c r="A15" s="5" t="s">
        <v>34</v>
      </c>
      <c r="B15" s="5">
        <v>2013</v>
      </c>
      <c r="C15" s="5" t="s">
        <v>38</v>
      </c>
      <c r="D15" s="21">
        <f t="shared" si="0"/>
        <v>41365</v>
      </c>
      <c r="E15" s="4">
        <f>AVERAGE(All_India_Index_Upto_April23__1___1[[#This Row],[Cereals and products]:[Food and beverages]])</f>
        <v>106.93846153846154</v>
      </c>
      <c r="F15" s="5">
        <f>AVERAGE(All_India_Index_Upto_April23__1___1[[#This Row],[Pan, tobacco and intoxicants]])</f>
        <v>107.5</v>
      </c>
      <c r="G15" s="4">
        <f>AVERAGE(All_India_Index_Upto_April23__1___1[[#This Row],[Clothing]:[Clothing and footwear]])</f>
        <v>107.63333333333333</v>
      </c>
      <c r="H15" s="5">
        <f>AVERAGE(All_India_Index_Upto_April23__1___1[[#This Row],[Housing]:[Fuel and light]])</f>
        <v>106.5</v>
      </c>
      <c r="I15" s="5">
        <f>AVERAGE(All_India_Index_Upto_April23__1___1[[#This Row],[Household goods and services]:[Health]])</f>
        <v>105.8</v>
      </c>
      <c r="J15" s="5">
        <f>AVERAGE(All_India_Index_Upto_April23__1___1[[#This Row],[Transport and communication]])</f>
        <v>104.7</v>
      </c>
      <c r="K15" s="5">
        <f>AVERAGE(All_India_Index_Upto_April23__1___1[[#This Row],[Recreation and amusement]])</f>
        <v>104.2</v>
      </c>
      <c r="L15" s="5">
        <f>AVERAGE(All_India_Index_Upto_April23__1___1[[#This Row],[Education]])</f>
        <v>105</v>
      </c>
      <c r="M15" s="5">
        <f>AVERAGE(All_India_Index_Upto_April23__1___1[[#This Row],[Personal care and effects]])</f>
        <v>102.9</v>
      </c>
      <c r="N15" s="5">
        <f>AVERAGE(All_India_Index_Upto_April23__1___1[[#This Row],[Miscellaneous]])</f>
        <v>104.8</v>
      </c>
      <c r="O15" s="5">
        <f>AVERAGE(All_India_Index_Upto_April23__1___1[[#This Row],[General index]])</f>
        <v>106.1</v>
      </c>
      <c r="P15" s="2">
        <f>AVERAGE(E15:N15)</f>
        <v>105.59717948717949</v>
      </c>
      <c r="R15" s="9">
        <f t="shared" si="2"/>
        <v>101.27018738359854</v>
      </c>
      <c r="S15" s="9">
        <f t="shared" si="3"/>
        <v>101.80196149372675</v>
      </c>
      <c r="T15" s="9">
        <f t="shared" si="4"/>
        <v>101.92822749247867</v>
      </c>
      <c r="U15" s="9">
        <f t="shared" si="5"/>
        <v>100.85496650308745</v>
      </c>
      <c r="V15" s="9">
        <f t="shared" si="6"/>
        <v>100.19207000963992</v>
      </c>
      <c r="W15" s="9">
        <f t="shared" si="7"/>
        <v>99.150375519936674</v>
      </c>
      <c r="X15" s="9">
        <f t="shared" si="8"/>
        <v>98.676878024617011</v>
      </c>
      <c r="Y15" s="9">
        <f t="shared" si="9"/>
        <v>99.434474017128466</v>
      </c>
      <c r="Z15" s="9">
        <f t="shared" si="10"/>
        <v>97.445784536785908</v>
      </c>
    </row>
    <row r="16" spans="1:26" hidden="1" x14ac:dyDescent="0.3">
      <c r="A16" s="6" t="s">
        <v>30</v>
      </c>
      <c r="B16" s="6">
        <v>2013</v>
      </c>
      <c r="C16" s="6" t="s">
        <v>40</v>
      </c>
      <c r="D16" s="21">
        <f t="shared" si="0"/>
        <v>41395</v>
      </c>
      <c r="E16" s="4">
        <f>AVERAGE(All_India_Index_Upto_April23__1___1[[#This Row],[Cereals and products]:[Food and beverages]])</f>
        <v>107.23076923076923</v>
      </c>
      <c r="F16" s="5">
        <f>AVERAGE(All_India_Index_Upto_April23__1___1[[#This Row],[Pan, tobacco and intoxicants]])</f>
        <v>108.1</v>
      </c>
      <c r="G16" s="4">
        <f>AVERAGE(All_India_Index_Upto_April23__1___1[[#This Row],[Clothing]:[Clothing and footwear]])</f>
        <v>108.43333333333332</v>
      </c>
      <c r="H16" s="5">
        <f>AVERAGE(All_India_Index_Upto_April23__1___1[[#This Row],[Housing]:[Fuel and light]])</f>
        <v>107.5</v>
      </c>
      <c r="I16" s="5">
        <f>AVERAGE(All_India_Index_Upto_April23__1___1[[#This Row],[Household goods and services]:[Health]])</f>
        <v>106.25</v>
      </c>
      <c r="J16" s="5">
        <f>AVERAGE(All_India_Index_Upto_April23__1___1[[#This Row],[Transport and communication]])</f>
        <v>104.1</v>
      </c>
      <c r="K16" s="5">
        <f>AVERAGE(All_India_Index_Upto_April23__1___1[[#This Row],[Recreation and amusement]])</f>
        <v>105</v>
      </c>
      <c r="L16" s="5">
        <f>AVERAGE(All_India_Index_Upto_April23__1___1[[#This Row],[Education]])</f>
        <v>105.5</v>
      </c>
      <c r="M16" s="5">
        <f>AVERAGE(All_India_Index_Upto_April23__1___1[[#This Row],[Personal care and effects]])</f>
        <v>102.1</v>
      </c>
      <c r="N16" s="5">
        <f>AVERAGE(All_India_Index_Upto_April23__1___1[[#This Row],[Miscellaneous]])</f>
        <v>104.8</v>
      </c>
      <c r="O16" s="5">
        <f>AVERAGE(All_India_Index_Upto_April23__1___1[[#This Row],[General index]])</f>
        <v>107.2</v>
      </c>
      <c r="P16" s="2">
        <f t="shared" si="1"/>
        <v>954.21410256410263</v>
      </c>
      <c r="R16" s="9">
        <f t="shared" si="2"/>
        <v>11.237600549250489</v>
      </c>
      <c r="S16" s="9">
        <f t="shared" si="3"/>
        <v>11.328694441794628</v>
      </c>
      <c r="T16" s="9">
        <f t="shared" si="4"/>
        <v>11.363627202947248</v>
      </c>
      <c r="U16" s="9">
        <f t="shared" si="5"/>
        <v>11.265815471719915</v>
      </c>
      <c r="V16" s="9">
        <f t="shared" si="6"/>
        <v>11.134817617397589</v>
      </c>
      <c r="W16" s="9">
        <f t="shared" si="7"/>
        <v>10.90950130796319</v>
      </c>
      <c r="X16" s="9">
        <f t="shared" si="8"/>
        <v>11.003819763075265</v>
      </c>
      <c r="Y16" s="9">
        <f t="shared" si="9"/>
        <v>11.056218904804195</v>
      </c>
      <c r="Z16" s="9">
        <f t="shared" si="10"/>
        <v>10.699904741047471</v>
      </c>
    </row>
    <row r="17" spans="1:26" hidden="1" x14ac:dyDescent="0.3">
      <c r="A17" s="5" t="s">
        <v>32</v>
      </c>
      <c r="B17" s="5">
        <v>2013</v>
      </c>
      <c r="C17" s="5" t="s">
        <v>40</v>
      </c>
      <c r="D17" s="21">
        <f t="shared" si="0"/>
        <v>41395</v>
      </c>
      <c r="E17" s="4">
        <f>AVERAGE(All_India_Index_Upto_April23__1___1[[#This Row],[Cereals and products]:[Food and beverages]])</f>
        <v>109.0153846153846</v>
      </c>
      <c r="F17" s="5">
        <f>AVERAGE(All_India_Index_Upto_April23__1___1[[#This Row],[Pan, tobacco and intoxicants]])</f>
        <v>109.8</v>
      </c>
      <c r="G17" s="4">
        <f>AVERAGE(All_India_Index_Upto_April23__1___1[[#This Row],[Clothing]:[Clothing and footwear]])</f>
        <v>107.83333333333333</v>
      </c>
      <c r="H17" s="5">
        <f>AVERAGE(All_India_Index_Upto_April23__1___1[[#This Row],[Housing]:[Fuel and light]])</f>
        <v>107.2</v>
      </c>
      <c r="I17" s="5">
        <f>AVERAGE(All_India_Index_Upto_April23__1___1[[#This Row],[Household goods and services]:[Health]])</f>
        <v>106.65</v>
      </c>
      <c r="J17" s="5">
        <f>AVERAGE(All_India_Index_Upto_April23__1___1[[#This Row],[Transport and communication]])</f>
        <v>103.9</v>
      </c>
      <c r="K17" s="5">
        <f>AVERAGE(All_India_Index_Upto_April23__1___1[[#This Row],[Recreation and amusement]])</f>
        <v>104.6</v>
      </c>
      <c r="L17" s="5">
        <f>AVERAGE(All_India_Index_Upto_April23__1___1[[#This Row],[Education]])</f>
        <v>105.7</v>
      </c>
      <c r="M17" s="5">
        <f>AVERAGE(All_India_Index_Upto_April23__1___1[[#This Row],[Personal care and effects]])</f>
        <v>102.6</v>
      </c>
      <c r="N17" s="5">
        <f>AVERAGE(All_India_Index_Upto_April23__1___1[[#This Row],[Miscellaneous]])</f>
        <v>104.9</v>
      </c>
      <c r="O17" s="5">
        <f>AVERAGE(All_India_Index_Upto_April23__1___1[[#This Row],[General index]])</f>
        <v>106.6</v>
      </c>
      <c r="P17" s="2">
        <f t="shared" si="1"/>
        <v>957.29871794871804</v>
      </c>
      <c r="R17" s="9">
        <f t="shared" si="2"/>
        <v>11.387812661964151</v>
      </c>
      <c r="S17" s="9">
        <f t="shared" si="3"/>
        <v>11.469774057075664</v>
      </c>
      <c r="T17" s="9">
        <f t="shared" si="4"/>
        <v>11.264334873903998</v>
      </c>
      <c r="U17" s="9">
        <f t="shared" si="5"/>
        <v>11.198176492882617</v>
      </c>
      <c r="V17" s="9">
        <f t="shared" si="6"/>
        <v>11.140723161995627</v>
      </c>
      <c r="W17" s="9">
        <f t="shared" si="7"/>
        <v>10.85345650756067</v>
      </c>
      <c r="X17" s="9">
        <f t="shared" si="8"/>
        <v>10.926578928689567</v>
      </c>
      <c r="Y17" s="9">
        <f t="shared" si="9"/>
        <v>11.04148559046355</v>
      </c>
      <c r="Z17" s="9">
        <f t="shared" si="10"/>
        <v>10.717657725464145</v>
      </c>
    </row>
    <row r="18" spans="1:26" hidden="1" x14ac:dyDescent="0.3">
      <c r="A18" s="6" t="s">
        <v>34</v>
      </c>
      <c r="B18" s="6">
        <v>2013</v>
      </c>
      <c r="C18" s="6" t="s">
        <v>40</v>
      </c>
      <c r="D18" s="21">
        <f t="shared" si="0"/>
        <v>41395</v>
      </c>
      <c r="E18" s="4">
        <f>AVERAGE(All_India_Index_Upto_April23__1___1[[#This Row],[Cereals and products]:[Food and beverages]])</f>
        <v>107.86153846153844</v>
      </c>
      <c r="F18" s="5">
        <f>AVERAGE(All_India_Index_Upto_April23__1___1[[#This Row],[Pan, tobacco and intoxicants]])</f>
        <v>108.6</v>
      </c>
      <c r="G18" s="4">
        <f>AVERAGE(All_India_Index_Upto_April23__1___1[[#This Row],[Clothing]:[Clothing and footwear]])</f>
        <v>108.2</v>
      </c>
      <c r="H18" s="5">
        <f>AVERAGE(All_India_Index_Upto_April23__1___1[[#This Row],[Housing]:[Fuel and light]])</f>
        <v>107.4</v>
      </c>
      <c r="I18" s="5">
        <f>AVERAGE(All_India_Index_Upto_April23__1___1[[#This Row],[Household goods and services]:[Health]])</f>
        <v>106.4</v>
      </c>
      <c r="J18" s="5">
        <f>AVERAGE(All_India_Index_Upto_April23__1___1[[#This Row],[Transport and communication]])</f>
        <v>104</v>
      </c>
      <c r="K18" s="5">
        <f>AVERAGE(All_India_Index_Upto_April23__1___1[[#This Row],[Recreation and amusement]])</f>
        <v>104.8</v>
      </c>
      <c r="L18" s="5">
        <f>AVERAGE(All_India_Index_Upto_April23__1___1[[#This Row],[Education]])</f>
        <v>105.6</v>
      </c>
      <c r="M18" s="5">
        <f>AVERAGE(All_India_Index_Upto_April23__1___1[[#This Row],[Personal care and effects]])</f>
        <v>102.3</v>
      </c>
      <c r="N18" s="5">
        <f>AVERAGE(All_India_Index_Upto_April23__1___1[[#This Row],[Miscellaneous]])</f>
        <v>104.8</v>
      </c>
      <c r="O18" s="5">
        <f>AVERAGE(All_India_Index_Upto_April23__1___1[[#This Row],[General index]])</f>
        <v>106.9</v>
      </c>
      <c r="P18" s="2">
        <f>AVERAGE(E18:N18)</f>
        <v>105.99615384615383</v>
      </c>
      <c r="R18" s="9">
        <f t="shared" si="2"/>
        <v>101.75986066257848</v>
      </c>
      <c r="S18" s="9">
        <f t="shared" si="3"/>
        <v>102.4565477702384</v>
      </c>
      <c r="T18" s="9">
        <f t="shared" si="4"/>
        <v>102.07917558692262</v>
      </c>
      <c r="U18" s="9">
        <f t="shared" si="5"/>
        <v>101.32443122029102</v>
      </c>
      <c r="V18" s="9">
        <f t="shared" si="6"/>
        <v>100.38100076200153</v>
      </c>
      <c r="W18" s="9">
        <f t="shared" si="7"/>
        <v>98.116767662106767</v>
      </c>
      <c r="X18" s="9">
        <f t="shared" si="8"/>
        <v>98.871512028738351</v>
      </c>
      <c r="Y18" s="9">
        <f t="shared" si="9"/>
        <v>99.626256395369936</v>
      </c>
      <c r="Z18" s="9">
        <f t="shared" si="10"/>
        <v>96.512935883014634</v>
      </c>
    </row>
    <row r="19" spans="1:26" hidden="1" x14ac:dyDescent="0.3">
      <c r="A19" s="5" t="s">
        <v>30</v>
      </c>
      <c r="B19" s="5">
        <v>2013</v>
      </c>
      <c r="C19" s="5" t="s">
        <v>41</v>
      </c>
      <c r="D19" s="21">
        <f t="shared" si="0"/>
        <v>41426</v>
      </c>
      <c r="E19" s="4">
        <f>AVERAGE(All_India_Index_Upto_April23__1___1[[#This Row],[Cereals and products]:[Food and beverages]])</f>
        <v>109.23076923076923</v>
      </c>
      <c r="F19" s="5">
        <f>AVERAGE(All_India_Index_Upto_April23__1___1[[#This Row],[Pan, tobacco and intoxicants]])</f>
        <v>109</v>
      </c>
      <c r="G19" s="4">
        <f>AVERAGE(All_India_Index_Upto_April23__1___1[[#This Row],[Clothing]:[Clothing and footwear]])</f>
        <v>109.33333333333333</v>
      </c>
      <c r="H19" s="5">
        <f>AVERAGE(All_India_Index_Upto_April23__1___1[[#This Row],[Housing]:[Fuel and light]])</f>
        <v>108.5</v>
      </c>
      <c r="I19" s="5">
        <f>AVERAGE(All_India_Index_Upto_April23__1___1[[#This Row],[Household goods and services]:[Health]])</f>
        <v>106.9</v>
      </c>
      <c r="J19" s="5">
        <f>AVERAGE(All_India_Index_Upto_April23__1___1[[#This Row],[Transport and communication]])</f>
        <v>105</v>
      </c>
      <c r="K19" s="5">
        <f>AVERAGE(All_India_Index_Upto_April23__1___1[[#This Row],[Recreation and amusement]])</f>
        <v>105.6</v>
      </c>
      <c r="L19" s="5">
        <f>AVERAGE(All_India_Index_Upto_April23__1___1[[#This Row],[Education]])</f>
        <v>106.5</v>
      </c>
      <c r="M19" s="5">
        <f>AVERAGE(All_India_Index_Upto_April23__1___1[[#This Row],[Personal care and effects]])</f>
        <v>102.5</v>
      </c>
      <c r="N19" s="5">
        <f>AVERAGE(All_India_Index_Upto_April23__1___1[[#This Row],[Miscellaneous]])</f>
        <v>105.5</v>
      </c>
      <c r="O19" s="5">
        <f>AVERAGE(All_India_Index_Upto_April23__1___1[[#This Row],[General index]])</f>
        <v>108.9</v>
      </c>
      <c r="P19" s="2">
        <f t="shared" si="1"/>
        <v>962.56410256410254</v>
      </c>
      <c r="R19" s="9">
        <f t="shared" si="2"/>
        <v>11.34789557805008</v>
      </c>
      <c r="S19" s="9">
        <f t="shared" si="3"/>
        <v>11.323921150772509</v>
      </c>
      <c r="T19" s="9">
        <f t="shared" si="4"/>
        <v>11.358550879062333</v>
      </c>
      <c r="U19" s="9">
        <f t="shared" si="5"/>
        <v>11.271976558337773</v>
      </c>
      <c r="V19" s="9">
        <f t="shared" si="6"/>
        <v>11.105753862546617</v>
      </c>
      <c r="W19" s="9">
        <f t="shared" si="7"/>
        <v>10.908364411294619</v>
      </c>
      <c r="X19" s="9">
        <f t="shared" si="8"/>
        <v>10.970697922216303</v>
      </c>
      <c r="Y19" s="9">
        <f t="shared" si="9"/>
        <v>11.064198188598828</v>
      </c>
      <c r="Z19" s="9">
        <f t="shared" si="10"/>
        <v>10.648641449120937</v>
      </c>
    </row>
    <row r="20" spans="1:26" hidden="1" x14ac:dyDescent="0.3">
      <c r="A20" s="6" t="s">
        <v>32</v>
      </c>
      <c r="B20" s="6">
        <v>2013</v>
      </c>
      <c r="C20" s="6" t="s">
        <v>41</v>
      </c>
      <c r="D20" s="21">
        <f t="shared" si="0"/>
        <v>41426</v>
      </c>
      <c r="E20" s="4">
        <f>AVERAGE(All_India_Index_Upto_April23__1___1[[#This Row],[Cereals and products]:[Food and beverages]])</f>
        <v>112.66153846153847</v>
      </c>
      <c r="F20" s="5">
        <f>AVERAGE(All_India_Index_Upto_April23__1___1[[#This Row],[Pan, tobacco and intoxicants]])</f>
        <v>110.9</v>
      </c>
      <c r="G20" s="4">
        <f>AVERAGE(All_India_Index_Upto_April23__1___1[[#This Row],[Clothing]:[Clothing and footwear]])</f>
        <v>108.43333333333334</v>
      </c>
      <c r="H20" s="5">
        <f>AVERAGE(All_India_Index_Upto_April23__1___1[[#This Row],[Housing]:[Fuel and light]])</f>
        <v>108</v>
      </c>
      <c r="I20" s="5">
        <f>AVERAGE(All_India_Index_Upto_April23__1___1[[#This Row],[Household goods and services]:[Health]])</f>
        <v>107.1</v>
      </c>
      <c r="J20" s="5">
        <f>AVERAGE(All_India_Index_Upto_April23__1___1[[#This Row],[Transport and communication]])</f>
        <v>105.2</v>
      </c>
      <c r="K20" s="5">
        <f>AVERAGE(All_India_Index_Upto_April23__1___1[[#This Row],[Recreation and amusement]])</f>
        <v>105.2</v>
      </c>
      <c r="L20" s="5">
        <f>AVERAGE(All_India_Index_Upto_April23__1___1[[#This Row],[Education]])</f>
        <v>108.1</v>
      </c>
      <c r="M20" s="5">
        <f>AVERAGE(All_India_Index_Upto_April23__1___1[[#This Row],[Personal care and effects]])</f>
        <v>103.3</v>
      </c>
      <c r="N20" s="5">
        <f>AVERAGE(All_India_Index_Upto_April23__1___1[[#This Row],[Miscellaneous]])</f>
        <v>106.1</v>
      </c>
      <c r="O20" s="5">
        <f>AVERAGE(All_India_Index_Upto_April23__1___1[[#This Row],[General index]])</f>
        <v>109.7</v>
      </c>
      <c r="P20" s="2">
        <f t="shared" si="1"/>
        <v>968.89487179487185</v>
      </c>
      <c r="R20" s="9">
        <f t="shared" si="2"/>
        <v>11.627839277633253</v>
      </c>
      <c r="S20" s="9">
        <f t="shared" si="3"/>
        <v>11.446030237992531</v>
      </c>
      <c r="T20" s="9">
        <f t="shared" si="4"/>
        <v>11.191444654099701</v>
      </c>
      <c r="U20" s="9">
        <f t="shared" si="5"/>
        <v>11.146720159632041</v>
      </c>
      <c r="V20" s="9">
        <f t="shared" si="6"/>
        <v>11.05383082496844</v>
      </c>
      <c r="W20" s="9">
        <f t="shared" si="7"/>
        <v>10.857731118456396</v>
      </c>
      <c r="X20" s="9">
        <f t="shared" si="8"/>
        <v>10.857731118456396</v>
      </c>
      <c r="Y20" s="9">
        <f t="shared" si="9"/>
        <v>11.157041196816884</v>
      </c>
      <c r="Z20" s="9">
        <f t="shared" si="10"/>
        <v>10.66163141194435</v>
      </c>
    </row>
    <row r="21" spans="1:26" hidden="1" x14ac:dyDescent="0.3">
      <c r="A21" s="5" t="s">
        <v>34</v>
      </c>
      <c r="B21" s="5">
        <v>2013</v>
      </c>
      <c r="C21" s="5" t="s">
        <v>41</v>
      </c>
      <c r="D21" s="21">
        <f t="shared" si="0"/>
        <v>41426</v>
      </c>
      <c r="E21" s="4">
        <f>AVERAGE(All_India_Index_Upto_April23__1___1[[#This Row],[Cereals and products]:[Food and beverages]])</f>
        <v>110.46153846153847</v>
      </c>
      <c r="F21" s="5">
        <f>AVERAGE(All_India_Index_Upto_April23__1___1[[#This Row],[Pan, tobacco and intoxicants]])</f>
        <v>109.5</v>
      </c>
      <c r="G21" s="4">
        <f>AVERAGE(All_India_Index_Upto_April23__1___1[[#This Row],[Clothing]:[Clothing and footwear]])</f>
        <v>108.96666666666665</v>
      </c>
      <c r="H21" s="5">
        <f>AVERAGE(All_India_Index_Upto_April23__1___1[[#This Row],[Housing]:[Fuel and light]])</f>
        <v>108.3</v>
      </c>
      <c r="I21" s="5">
        <f>AVERAGE(All_India_Index_Upto_April23__1___1[[#This Row],[Household goods and services]:[Health]])</f>
        <v>107</v>
      </c>
      <c r="J21" s="5">
        <f>AVERAGE(All_India_Index_Upto_April23__1___1[[#This Row],[Transport and communication]])</f>
        <v>105.1</v>
      </c>
      <c r="K21" s="5">
        <f>AVERAGE(All_India_Index_Upto_April23__1___1[[#This Row],[Recreation and amusement]])</f>
        <v>105.4</v>
      </c>
      <c r="L21" s="5">
        <f>AVERAGE(All_India_Index_Upto_April23__1___1[[#This Row],[Education]])</f>
        <v>107.4</v>
      </c>
      <c r="M21" s="5">
        <f>AVERAGE(All_India_Index_Upto_April23__1___1[[#This Row],[Personal care and effects]])</f>
        <v>102.8</v>
      </c>
      <c r="N21" s="5">
        <f>AVERAGE(All_India_Index_Upto_April23__1___1[[#This Row],[Miscellaneous]])</f>
        <v>105.8</v>
      </c>
      <c r="O21" s="5">
        <f>AVERAGE(All_India_Index_Upto_April23__1___1[[#This Row],[General index]])</f>
        <v>109.3</v>
      </c>
      <c r="P21" s="2">
        <f>AVERAGE(E21:N21)</f>
        <v>107.0728205128205</v>
      </c>
      <c r="R21" s="9">
        <f t="shared" si="2"/>
        <v>103.16487221732635</v>
      </c>
      <c r="S21" s="9">
        <f t="shared" si="3"/>
        <v>102.26684930457107</v>
      </c>
      <c r="T21" s="9">
        <f t="shared" si="4"/>
        <v>101.76874592896279</v>
      </c>
      <c r="U21" s="9">
        <f t="shared" si="5"/>
        <v>101.14611670945249</v>
      </c>
      <c r="V21" s="9">
        <f t="shared" si="6"/>
        <v>99.931989731407342</v>
      </c>
      <c r="W21" s="9">
        <f t="shared" si="7"/>
        <v>98.1574964558029</v>
      </c>
      <c r="X21" s="9">
        <f t="shared" si="8"/>
        <v>98.43767960458257</v>
      </c>
      <c r="Y21" s="9">
        <f t="shared" si="9"/>
        <v>100.30556726311355</v>
      </c>
      <c r="Z21" s="9">
        <f t="shared" si="10"/>
        <v>96.009425648492282</v>
      </c>
    </row>
    <row r="22" spans="1:26" hidden="1" x14ac:dyDescent="0.3">
      <c r="A22" s="6" t="s">
        <v>30</v>
      </c>
      <c r="B22" s="6">
        <v>2013</v>
      </c>
      <c r="C22" s="6" t="s">
        <v>43</v>
      </c>
      <c r="D22" s="21">
        <f t="shared" si="0"/>
        <v>41456</v>
      </c>
      <c r="E22" s="4">
        <f>AVERAGE(All_India_Index_Upto_April23__1___1[[#This Row],[Cereals and products]:[Food and beverages]])</f>
        <v>111.22307692307689</v>
      </c>
      <c r="F22" s="5">
        <f>AVERAGE(All_India_Index_Upto_April23__1___1[[#This Row],[Pan, tobacco and intoxicants]])</f>
        <v>109.8</v>
      </c>
      <c r="G22" s="4">
        <f>AVERAGE(All_India_Index_Upto_April23__1___1[[#This Row],[Clothing]:[Clothing and footwear]])</f>
        <v>110.10000000000001</v>
      </c>
      <c r="H22" s="5">
        <f>AVERAGE(All_India_Index_Upto_April23__1___1[[#This Row],[Housing]:[Fuel and light]])</f>
        <v>109.5</v>
      </c>
      <c r="I22" s="5">
        <f>AVERAGE(All_India_Index_Upto_April23__1___1[[#This Row],[Household goods and services]:[Health]])</f>
        <v>107.6</v>
      </c>
      <c r="J22" s="5">
        <f>AVERAGE(All_India_Index_Upto_April23__1___1[[#This Row],[Transport and communication]])</f>
        <v>106.8</v>
      </c>
      <c r="K22" s="5">
        <f>AVERAGE(All_India_Index_Upto_April23__1___1[[#This Row],[Recreation and amusement]])</f>
        <v>106.4</v>
      </c>
      <c r="L22" s="5">
        <f>AVERAGE(All_India_Index_Upto_April23__1___1[[#This Row],[Education]])</f>
        <v>107.8</v>
      </c>
      <c r="M22" s="5">
        <f>AVERAGE(All_India_Index_Upto_April23__1___1[[#This Row],[Personal care and effects]])</f>
        <v>102.5</v>
      </c>
      <c r="N22" s="5">
        <f>AVERAGE(All_India_Index_Upto_April23__1___1[[#This Row],[Miscellaneous]])</f>
        <v>106.5</v>
      </c>
      <c r="O22" s="5">
        <f>AVERAGE(All_India_Index_Upto_April23__1___1[[#This Row],[General index]])</f>
        <v>110.7</v>
      </c>
      <c r="P22" s="2">
        <f t="shared" si="1"/>
        <v>971.72307692307675</v>
      </c>
      <c r="R22" s="9">
        <f t="shared" si="2"/>
        <v>11.445964345650864</v>
      </c>
      <c r="S22" s="9">
        <f t="shared" si="3"/>
        <v>11.299515531490455</v>
      </c>
      <c r="T22" s="9">
        <f t="shared" si="4"/>
        <v>11.330388524745896</v>
      </c>
      <c r="U22" s="9">
        <f t="shared" si="5"/>
        <v>11.268642538235017</v>
      </c>
      <c r="V22" s="9">
        <f t="shared" si="6"/>
        <v>11.073113580950574</v>
      </c>
      <c r="W22" s="9">
        <f t="shared" si="7"/>
        <v>10.990785598936071</v>
      </c>
      <c r="X22" s="9">
        <f t="shared" si="8"/>
        <v>10.949621607928821</v>
      </c>
      <c r="Y22" s="9">
        <f t="shared" si="9"/>
        <v>11.093695576454198</v>
      </c>
      <c r="Z22" s="9">
        <f t="shared" si="10"/>
        <v>10.548272695608121</v>
      </c>
    </row>
    <row r="23" spans="1:26" hidden="1" x14ac:dyDescent="0.3">
      <c r="A23" s="5" t="s">
        <v>32</v>
      </c>
      <c r="B23" s="5">
        <v>2013</v>
      </c>
      <c r="C23" s="5" t="s">
        <v>43</v>
      </c>
      <c r="D23" s="21">
        <f t="shared" si="0"/>
        <v>41456</v>
      </c>
      <c r="E23" s="4">
        <f>AVERAGE(All_India_Index_Upto_April23__1___1[[#This Row],[Cereals and products]:[Food and beverages]])</f>
        <v>114.56923076923077</v>
      </c>
      <c r="F23" s="5">
        <f>AVERAGE(All_India_Index_Upto_April23__1___1[[#This Row],[Pan, tobacco and intoxicants]])</f>
        <v>111.7</v>
      </c>
      <c r="G23" s="4">
        <f>AVERAGE(All_India_Index_Upto_April23__1___1[[#This Row],[Clothing]:[Clothing and footwear]])</f>
        <v>109.03333333333335</v>
      </c>
      <c r="H23" s="5">
        <f>AVERAGE(All_India_Index_Upto_April23__1___1[[#This Row],[Housing]:[Fuel and light]])</f>
        <v>108.6</v>
      </c>
      <c r="I23" s="5">
        <f>AVERAGE(All_India_Index_Upto_April23__1___1[[#This Row],[Household goods and services]:[Health]])</f>
        <v>107.6</v>
      </c>
      <c r="J23" s="5">
        <f>AVERAGE(All_India_Index_Upto_April23__1___1[[#This Row],[Transport and communication]])</f>
        <v>107.3</v>
      </c>
      <c r="K23" s="5">
        <f>AVERAGE(All_India_Index_Upto_April23__1___1[[#This Row],[Recreation and amusement]])</f>
        <v>105.9</v>
      </c>
      <c r="L23" s="5">
        <f>AVERAGE(All_India_Index_Upto_April23__1___1[[#This Row],[Education]])</f>
        <v>110.1</v>
      </c>
      <c r="M23" s="5">
        <f>AVERAGE(All_India_Index_Upto_April23__1___1[[#This Row],[Personal care and effects]])</f>
        <v>103.2</v>
      </c>
      <c r="N23" s="5">
        <f>AVERAGE(All_India_Index_Upto_April23__1___1[[#This Row],[Miscellaneous]])</f>
        <v>107.3</v>
      </c>
      <c r="O23" s="5">
        <f>AVERAGE(All_India_Index_Upto_April23__1___1[[#This Row],[General index]])</f>
        <v>111.4</v>
      </c>
      <c r="P23" s="2">
        <f t="shared" si="1"/>
        <v>978.00256410256418</v>
      </c>
      <c r="R23" s="9">
        <f t="shared" si="2"/>
        <v>11.714614559764669</v>
      </c>
      <c r="S23" s="9">
        <f t="shared" si="3"/>
        <v>11.421237949667166</v>
      </c>
      <c r="T23" s="9">
        <f t="shared" si="4"/>
        <v>11.148573361194062</v>
      </c>
      <c r="U23" s="9">
        <f t="shared" si="5"/>
        <v>11.10426536556718</v>
      </c>
      <c r="V23" s="9">
        <f t="shared" si="6"/>
        <v>11.002016144889765</v>
      </c>
      <c r="W23" s="9">
        <f t="shared" si="7"/>
        <v>10.971341378686542</v>
      </c>
      <c r="X23" s="9">
        <f t="shared" si="8"/>
        <v>10.828192469738163</v>
      </c>
      <c r="Y23" s="9">
        <f t="shared" si="9"/>
        <v>11.2576391965833</v>
      </c>
      <c r="Z23" s="9">
        <f t="shared" si="10"/>
        <v>10.552119573909144</v>
      </c>
    </row>
    <row r="24" spans="1:26" hidden="1" x14ac:dyDescent="0.3">
      <c r="A24" s="6" t="s">
        <v>34</v>
      </c>
      <c r="B24" s="6">
        <v>2013</v>
      </c>
      <c r="C24" s="6" t="s">
        <v>43</v>
      </c>
      <c r="D24" s="21">
        <f t="shared" si="0"/>
        <v>41456</v>
      </c>
      <c r="E24" s="4">
        <f>AVERAGE(All_India_Index_Upto_April23__1___1[[#This Row],[Cereals and products]:[Food and beverages]])</f>
        <v>112.41538461538461</v>
      </c>
      <c r="F24" s="5">
        <f>AVERAGE(All_India_Index_Upto_April23__1___1[[#This Row],[Pan, tobacco and intoxicants]])</f>
        <v>110.3</v>
      </c>
      <c r="G24" s="4">
        <f>AVERAGE(All_India_Index_Upto_April23__1___1[[#This Row],[Clothing]:[Clothing and footwear]])</f>
        <v>109.66666666666667</v>
      </c>
      <c r="H24" s="5">
        <f>AVERAGE(All_India_Index_Upto_April23__1___1[[#This Row],[Housing]:[Fuel and light]])</f>
        <v>109.2</v>
      </c>
      <c r="I24" s="5">
        <f>AVERAGE(All_India_Index_Upto_April23__1___1[[#This Row],[Household goods and services]:[Health]])</f>
        <v>107.6</v>
      </c>
      <c r="J24" s="5">
        <f>AVERAGE(All_India_Index_Upto_April23__1___1[[#This Row],[Transport and communication]])</f>
        <v>107.1</v>
      </c>
      <c r="K24" s="5">
        <f>AVERAGE(All_India_Index_Upto_April23__1___1[[#This Row],[Recreation and amusement]])</f>
        <v>106.1</v>
      </c>
      <c r="L24" s="5">
        <f>AVERAGE(All_India_Index_Upto_April23__1___1[[#This Row],[Education]])</f>
        <v>109.1</v>
      </c>
      <c r="M24" s="5">
        <f>AVERAGE(All_India_Index_Upto_April23__1___1[[#This Row],[Personal care and effects]])</f>
        <v>102.8</v>
      </c>
      <c r="N24" s="5">
        <f>AVERAGE(All_India_Index_Upto_April23__1___1[[#This Row],[Miscellaneous]])</f>
        <v>106.9</v>
      </c>
      <c r="O24" s="5">
        <f>AVERAGE(All_India_Index_Upto_April23__1___1[[#This Row],[General index]])</f>
        <v>111</v>
      </c>
      <c r="P24" s="2">
        <f>AVERAGE(E24:N24)</f>
        <v>108.11820512820513</v>
      </c>
      <c r="R24" s="9">
        <f t="shared" si="2"/>
        <v>103.9745198156813</v>
      </c>
      <c r="S24" s="9">
        <f t="shared" si="3"/>
        <v>102.01797178302002</v>
      </c>
      <c r="T24" s="9">
        <f t="shared" si="4"/>
        <v>101.43219315990808</v>
      </c>
      <c r="U24" s="9">
        <f t="shared" si="5"/>
        <v>101.00056680603613</v>
      </c>
      <c r="V24" s="9">
        <f t="shared" si="6"/>
        <v>99.52070502133229</v>
      </c>
      <c r="W24" s="9">
        <f t="shared" si="7"/>
        <v>99.058248213612345</v>
      </c>
      <c r="X24" s="9">
        <f t="shared" si="8"/>
        <v>98.133334598172453</v>
      </c>
      <c r="Y24" s="9">
        <f t="shared" si="9"/>
        <v>100.90807544449214</v>
      </c>
      <c r="Z24" s="9">
        <f t="shared" si="10"/>
        <v>95.081119667220818</v>
      </c>
    </row>
    <row r="25" spans="1:26" hidden="1" x14ac:dyDescent="0.3">
      <c r="A25" s="5" t="s">
        <v>30</v>
      </c>
      <c r="B25" s="5">
        <v>2013</v>
      </c>
      <c r="C25" s="5" t="s">
        <v>45</v>
      </c>
      <c r="D25" s="21">
        <f t="shared" si="0"/>
        <v>41487</v>
      </c>
      <c r="E25" s="4">
        <f>AVERAGE(All_India_Index_Upto_April23__1___1[[#This Row],[Cereals and products]:[Food and beverages]])</f>
        <v>112.5</v>
      </c>
      <c r="F25" s="5">
        <f>AVERAGE(All_India_Index_Upto_April23__1___1[[#This Row],[Pan, tobacco and intoxicants]])</f>
        <v>110.7</v>
      </c>
      <c r="G25" s="4">
        <f>AVERAGE(All_India_Index_Upto_April23__1___1[[#This Row],[Clothing]:[Clothing and footwear]])</f>
        <v>110.86666666666667</v>
      </c>
      <c r="H25" s="5">
        <f>AVERAGE(All_India_Index_Upto_April23__1___1[[#This Row],[Housing]:[Fuel and light]])</f>
        <v>109.9</v>
      </c>
      <c r="I25" s="5">
        <f>AVERAGE(All_India_Index_Upto_April23__1___1[[#This Row],[Household goods and services]:[Health]])</f>
        <v>108.1</v>
      </c>
      <c r="J25" s="5">
        <f>AVERAGE(All_India_Index_Upto_April23__1___1[[#This Row],[Transport and communication]])</f>
        <v>107.8</v>
      </c>
      <c r="K25" s="5">
        <f>AVERAGE(All_India_Index_Upto_April23__1___1[[#This Row],[Recreation and amusement]])</f>
        <v>106.8</v>
      </c>
      <c r="L25" s="5">
        <f>AVERAGE(All_India_Index_Upto_April23__1___1[[#This Row],[Education]])</f>
        <v>108.7</v>
      </c>
      <c r="M25" s="5">
        <f>AVERAGE(All_India_Index_Upto_April23__1___1[[#This Row],[Personal care and effects]])</f>
        <v>105</v>
      </c>
      <c r="N25" s="5">
        <f>AVERAGE(All_India_Index_Upto_April23__1___1[[#This Row],[Miscellaneous]])</f>
        <v>107.5</v>
      </c>
      <c r="O25" s="5">
        <f>AVERAGE(All_India_Index_Upto_April23__1___1[[#This Row],[General index]])</f>
        <v>112.1</v>
      </c>
      <c r="P25" s="2">
        <f t="shared" si="1"/>
        <v>980.36666666666667</v>
      </c>
      <c r="R25" s="9">
        <f t="shared" si="2"/>
        <v>11.475298357757302</v>
      </c>
      <c r="S25" s="9">
        <f t="shared" si="3"/>
        <v>11.291693584033185</v>
      </c>
      <c r="T25" s="9">
        <f t="shared" si="4"/>
        <v>11.308694026044677</v>
      </c>
      <c r="U25" s="9">
        <f t="shared" si="5"/>
        <v>11.210091462378022</v>
      </c>
      <c r="V25" s="9">
        <f t="shared" si="6"/>
        <v>11.026486688653904</v>
      </c>
      <c r="W25" s="9">
        <f t="shared" si="7"/>
        <v>10.995885893033218</v>
      </c>
      <c r="X25" s="9">
        <f t="shared" si="8"/>
        <v>10.893883240964266</v>
      </c>
      <c r="Y25" s="9">
        <f t="shared" si="9"/>
        <v>11.087688279895277</v>
      </c>
      <c r="Z25" s="9">
        <f t="shared" si="10"/>
        <v>10.710278467240149</v>
      </c>
    </row>
    <row r="26" spans="1:26" hidden="1" x14ac:dyDescent="0.3">
      <c r="A26" s="6" t="s">
        <v>32</v>
      </c>
      <c r="B26" s="6">
        <v>2013</v>
      </c>
      <c r="C26" s="6" t="s">
        <v>45</v>
      </c>
      <c r="D26" s="21">
        <f t="shared" si="0"/>
        <v>41487</v>
      </c>
      <c r="E26" s="4">
        <f>AVERAGE(All_India_Index_Upto_April23__1___1[[#This Row],[Cereals and products]:[Food and beverages]])</f>
        <v>115.85384615384616</v>
      </c>
      <c r="F26" s="5">
        <f>AVERAGE(All_India_Index_Upto_April23__1___1[[#This Row],[Pan, tobacco and intoxicants]])</f>
        <v>112.4</v>
      </c>
      <c r="G26" s="4">
        <f>AVERAGE(All_India_Index_Upto_April23__1___1[[#This Row],[Clothing]:[Clothing and footwear]])</f>
        <v>109.69999999999999</v>
      </c>
      <c r="H26" s="5">
        <f>AVERAGE(All_India_Index_Upto_April23__1___1[[#This Row],[Housing]:[Fuel and light]])</f>
        <v>109.3</v>
      </c>
      <c r="I26" s="5">
        <f>AVERAGE(All_India_Index_Upto_April23__1___1[[#This Row],[Household goods and services]:[Health]])</f>
        <v>108.15</v>
      </c>
      <c r="J26" s="5">
        <f>AVERAGE(All_India_Index_Upto_April23__1___1[[#This Row],[Transport and communication]])</f>
        <v>108.1</v>
      </c>
      <c r="K26" s="5">
        <f>AVERAGE(All_India_Index_Upto_April23__1___1[[#This Row],[Recreation and amusement]])</f>
        <v>106.5</v>
      </c>
      <c r="L26" s="5">
        <f>AVERAGE(All_India_Index_Upto_April23__1___1[[#This Row],[Education]])</f>
        <v>110.8</v>
      </c>
      <c r="M26" s="5">
        <f>AVERAGE(All_India_Index_Upto_April23__1___1[[#This Row],[Personal care and effects]])</f>
        <v>106</v>
      </c>
      <c r="N26" s="5">
        <f>AVERAGE(All_India_Index_Upto_April23__1___1[[#This Row],[Miscellaneous]])</f>
        <v>108.3</v>
      </c>
      <c r="O26" s="5">
        <f>AVERAGE(All_India_Index_Upto_April23__1___1[[#This Row],[General index]])</f>
        <v>112.7</v>
      </c>
      <c r="P26" s="2">
        <f t="shared" si="1"/>
        <v>986.80384615384617</v>
      </c>
      <c r="R26" s="9">
        <f t="shared" si="2"/>
        <v>11.740311573105092</v>
      </c>
      <c r="S26" s="9">
        <f t="shared" si="3"/>
        <v>11.390308260156138</v>
      </c>
      <c r="T26" s="9">
        <f t="shared" si="4"/>
        <v>11.116697652483348</v>
      </c>
      <c r="U26" s="9">
        <f t="shared" si="5"/>
        <v>11.076162747642934</v>
      </c>
      <c r="V26" s="9">
        <f t="shared" si="6"/>
        <v>10.959624896226746</v>
      </c>
      <c r="W26" s="9">
        <f t="shared" si="7"/>
        <v>10.954558033121693</v>
      </c>
      <c r="X26" s="9">
        <f t="shared" si="8"/>
        <v>10.792418413760041</v>
      </c>
      <c r="Y26" s="9">
        <f t="shared" si="9"/>
        <v>11.228168640794484</v>
      </c>
      <c r="Z26" s="9">
        <f t="shared" si="10"/>
        <v>10.741749782709524</v>
      </c>
    </row>
    <row r="27" spans="1:26" hidden="1" x14ac:dyDescent="0.3">
      <c r="A27" s="5" t="s">
        <v>34</v>
      </c>
      <c r="B27" s="5">
        <v>2013</v>
      </c>
      <c r="C27" s="5" t="s">
        <v>45</v>
      </c>
      <c r="D27" s="21">
        <f t="shared" si="0"/>
        <v>41487</v>
      </c>
      <c r="E27" s="4">
        <f>AVERAGE(All_India_Index_Upto_April23__1___1[[#This Row],[Cereals and products]:[Food and beverages]])</f>
        <v>113.64615384615385</v>
      </c>
      <c r="F27" s="5">
        <f>AVERAGE(All_India_Index_Upto_April23__1___1[[#This Row],[Pan, tobacco and intoxicants]])</f>
        <v>111.2</v>
      </c>
      <c r="G27" s="4">
        <f>AVERAGE(All_India_Index_Upto_April23__1___1[[#This Row],[Clothing]:[Clothing and footwear]])</f>
        <v>110.36666666666667</v>
      </c>
      <c r="H27" s="5">
        <f>AVERAGE(All_India_Index_Upto_April23__1___1[[#This Row],[Housing]:[Fuel and light]])</f>
        <v>109.7</v>
      </c>
      <c r="I27" s="5">
        <f>AVERAGE(All_India_Index_Upto_April23__1___1[[#This Row],[Household goods and services]:[Health]])</f>
        <v>108.1</v>
      </c>
      <c r="J27" s="5">
        <f>AVERAGE(All_India_Index_Upto_April23__1___1[[#This Row],[Transport and communication]])</f>
        <v>108</v>
      </c>
      <c r="K27" s="5">
        <f>AVERAGE(All_India_Index_Upto_April23__1___1[[#This Row],[Recreation and amusement]])</f>
        <v>106.6</v>
      </c>
      <c r="L27" s="5">
        <f>AVERAGE(All_India_Index_Upto_April23__1___1[[#This Row],[Education]])</f>
        <v>109.9</v>
      </c>
      <c r="M27" s="5">
        <f>AVERAGE(All_India_Index_Upto_April23__1___1[[#This Row],[Personal care and effects]])</f>
        <v>105.4</v>
      </c>
      <c r="N27" s="5">
        <f>AVERAGE(All_India_Index_Upto_April23__1___1[[#This Row],[Miscellaneous]])</f>
        <v>107.9</v>
      </c>
      <c r="O27" s="5">
        <f>AVERAGE(All_India_Index_Upto_April23__1___1[[#This Row],[General index]])</f>
        <v>112.4</v>
      </c>
      <c r="P27" s="2">
        <f>AVERAGE(E27:N27)</f>
        <v>109.08128205128205</v>
      </c>
      <c r="R27" s="9">
        <f t="shared" si="2"/>
        <v>104.18483511472274</v>
      </c>
      <c r="S27" s="9">
        <f t="shared" si="3"/>
        <v>101.94232952608853</v>
      </c>
      <c r="T27" s="9">
        <f t="shared" si="4"/>
        <v>101.17837321968798</v>
      </c>
      <c r="U27" s="9">
        <f t="shared" si="5"/>
        <v>100.56720817456754</v>
      </c>
      <c r="V27" s="9">
        <f t="shared" si="6"/>
        <v>99.100412066278494</v>
      </c>
      <c r="W27" s="9">
        <f t="shared" si="7"/>
        <v>99.008737309510437</v>
      </c>
      <c r="X27" s="9">
        <f t="shared" si="8"/>
        <v>97.72529071475752</v>
      </c>
      <c r="Y27" s="9">
        <f t="shared" si="9"/>
        <v>100.75055768810368</v>
      </c>
      <c r="Z27" s="9">
        <f t="shared" si="10"/>
        <v>96.625193633540746</v>
      </c>
    </row>
    <row r="28" spans="1:26" hidden="1" x14ac:dyDescent="0.3">
      <c r="A28" s="6" t="s">
        <v>30</v>
      </c>
      <c r="B28" s="6">
        <v>2013</v>
      </c>
      <c r="C28" s="6" t="s">
        <v>47</v>
      </c>
      <c r="D28" s="21">
        <f t="shared" si="0"/>
        <v>41518</v>
      </c>
      <c r="E28" s="4">
        <f>AVERAGE(All_India_Index_Upto_April23__1___1[[#This Row],[Cereals and products]:[Food and beverages]])</f>
        <v>114.50000000000001</v>
      </c>
      <c r="F28" s="5">
        <f>AVERAGE(All_India_Index_Upto_April23__1___1[[#This Row],[Pan, tobacco and intoxicants]])</f>
        <v>111.7</v>
      </c>
      <c r="G28" s="4">
        <f>AVERAGE(All_India_Index_Upto_April23__1___1[[#This Row],[Clothing]:[Clothing and footwear]])</f>
        <v>112.2</v>
      </c>
      <c r="H28" s="5">
        <f>AVERAGE(All_India_Index_Upto_April23__1___1[[#This Row],[Housing]:[Fuel and light]])</f>
        <v>111.1</v>
      </c>
      <c r="I28" s="5">
        <f>AVERAGE(All_India_Index_Upto_April23__1___1[[#This Row],[Household goods and services]:[Health]])</f>
        <v>108.94999999999999</v>
      </c>
      <c r="J28" s="5">
        <f>AVERAGE(All_India_Index_Upto_April23__1___1[[#This Row],[Transport and communication]])</f>
        <v>109.3</v>
      </c>
      <c r="K28" s="5">
        <f>AVERAGE(All_India_Index_Upto_April23__1___1[[#This Row],[Recreation and amusement]])</f>
        <v>107.7</v>
      </c>
      <c r="L28" s="5">
        <f>AVERAGE(All_India_Index_Upto_April23__1___1[[#This Row],[Education]])</f>
        <v>109.8</v>
      </c>
      <c r="M28" s="5">
        <f>AVERAGE(All_India_Index_Upto_April23__1___1[[#This Row],[Personal care and effects]])</f>
        <v>106.7</v>
      </c>
      <c r="N28" s="5">
        <f>AVERAGE(All_India_Index_Upto_April23__1___1[[#This Row],[Miscellaneous]])</f>
        <v>108.7</v>
      </c>
      <c r="O28" s="5">
        <f>AVERAGE(All_India_Index_Upto_April23__1___1[[#This Row],[General index]])</f>
        <v>114.2</v>
      </c>
      <c r="P28" s="2">
        <f t="shared" si="1"/>
        <v>991.95</v>
      </c>
      <c r="R28" s="9">
        <f t="shared" si="2"/>
        <v>11.542920510106356</v>
      </c>
      <c r="S28" s="9">
        <f t="shared" si="3"/>
        <v>11.260648218156156</v>
      </c>
      <c r="T28" s="9">
        <f t="shared" si="4"/>
        <v>11.311053984575835</v>
      </c>
      <c r="U28" s="9">
        <f t="shared" si="5"/>
        <v>11.200161298452542</v>
      </c>
      <c r="V28" s="9">
        <f t="shared" si="6"/>
        <v>10.983416502847925</v>
      </c>
      <c r="W28" s="9">
        <f t="shared" si="7"/>
        <v>11.018700539341699</v>
      </c>
      <c r="X28" s="9">
        <f t="shared" si="8"/>
        <v>10.85740208679873</v>
      </c>
      <c r="Y28" s="9">
        <f t="shared" si="9"/>
        <v>11.069106305761379</v>
      </c>
      <c r="Z28" s="9">
        <f t="shared" si="10"/>
        <v>10.756590553959374</v>
      </c>
    </row>
    <row r="29" spans="1:26" hidden="1" x14ac:dyDescent="0.3">
      <c r="A29" s="5" t="s">
        <v>32</v>
      </c>
      <c r="B29" s="5">
        <v>2013</v>
      </c>
      <c r="C29" s="5" t="s">
        <v>47</v>
      </c>
      <c r="D29" s="21">
        <f t="shared" si="0"/>
        <v>41518</v>
      </c>
      <c r="E29" s="4">
        <f>AVERAGE(All_India_Index_Upto_April23__1___1[[#This Row],[Cereals and products]:[Food and beverages]])</f>
        <v>115.41538461538462</v>
      </c>
      <c r="F29" s="5">
        <f>AVERAGE(All_India_Index_Upto_April23__1___1[[#This Row],[Pan, tobacco and intoxicants]])</f>
        <v>112.9</v>
      </c>
      <c r="G29" s="4">
        <f>AVERAGE(All_India_Index_Upto_April23__1___1[[#This Row],[Clothing]:[Clothing and footwear]])</f>
        <v>110.5</v>
      </c>
      <c r="H29" s="5">
        <f>AVERAGE(All_India_Index_Upto_April23__1___1[[#This Row],[Housing]:[Fuel and light]])</f>
        <v>109.5</v>
      </c>
      <c r="I29" s="5">
        <f>AVERAGE(All_India_Index_Upto_April23__1___1[[#This Row],[Household goods and services]:[Health]])</f>
        <v>108.75</v>
      </c>
      <c r="J29" s="5">
        <f>AVERAGE(All_India_Index_Upto_April23__1___1[[#This Row],[Transport and communication]])</f>
        <v>110.4</v>
      </c>
      <c r="K29" s="5">
        <f>AVERAGE(All_India_Index_Upto_April23__1___1[[#This Row],[Recreation and amusement]])</f>
        <v>107.4</v>
      </c>
      <c r="L29" s="5">
        <f>AVERAGE(All_India_Index_Upto_April23__1___1[[#This Row],[Education]])</f>
        <v>111.2</v>
      </c>
      <c r="M29" s="5">
        <f>AVERAGE(All_India_Index_Upto_April23__1___1[[#This Row],[Personal care and effects]])</f>
        <v>106.9</v>
      </c>
      <c r="N29" s="5">
        <f>AVERAGE(All_India_Index_Upto_April23__1___1[[#This Row],[Miscellaneous]])</f>
        <v>109.4</v>
      </c>
      <c r="O29" s="5">
        <f>AVERAGE(All_India_Index_Upto_April23__1___1[[#This Row],[General index]])</f>
        <v>113.2</v>
      </c>
      <c r="P29" s="2">
        <f t="shared" si="1"/>
        <v>992.96538461538455</v>
      </c>
      <c r="R29" s="9">
        <f t="shared" si="2"/>
        <v>11.623303934214146</v>
      </c>
      <c r="S29" s="9">
        <f t="shared" si="3"/>
        <v>11.369983460574581</v>
      </c>
      <c r="T29" s="9">
        <f t="shared" si="4"/>
        <v>11.12828319214784</v>
      </c>
      <c r="U29" s="9">
        <f t="shared" si="5"/>
        <v>11.027574746970032</v>
      </c>
      <c r="V29" s="9">
        <f t="shared" si="6"/>
        <v>10.952043413086676</v>
      </c>
      <c r="W29" s="9">
        <f t="shared" si="7"/>
        <v>11.11821234763006</v>
      </c>
      <c r="X29" s="9">
        <f t="shared" si="8"/>
        <v>10.816087012096636</v>
      </c>
      <c r="Y29" s="9">
        <f t="shared" si="9"/>
        <v>11.198779103772306</v>
      </c>
      <c r="Z29" s="9">
        <f t="shared" si="10"/>
        <v>10.76573278950773</v>
      </c>
    </row>
    <row r="30" spans="1:26" hidden="1" x14ac:dyDescent="0.3">
      <c r="A30" s="6" t="s">
        <v>34</v>
      </c>
      <c r="B30" s="6">
        <v>2013</v>
      </c>
      <c r="C30" s="6" t="s">
        <v>47</v>
      </c>
      <c r="D30" s="21">
        <f t="shared" si="0"/>
        <v>41518</v>
      </c>
      <c r="E30" s="4">
        <f>AVERAGE(All_India_Index_Upto_April23__1___1[[#This Row],[Cereals and products]:[Food and beverages]])</f>
        <v>114.74615384615383</v>
      </c>
      <c r="F30" s="5">
        <f>AVERAGE(All_India_Index_Upto_April23__1___1[[#This Row],[Pan, tobacco and intoxicants]])</f>
        <v>112</v>
      </c>
      <c r="G30" s="4">
        <f>AVERAGE(All_India_Index_Upto_April23__1___1[[#This Row],[Clothing]:[Clothing and footwear]])</f>
        <v>111.5</v>
      </c>
      <c r="H30" s="5">
        <f>AVERAGE(All_India_Index_Upto_April23__1___1[[#This Row],[Housing]:[Fuel and light]])</f>
        <v>110.5</v>
      </c>
      <c r="I30" s="5">
        <f>AVERAGE(All_India_Index_Upto_April23__1___1[[#This Row],[Household goods and services]:[Health]])</f>
        <v>108.85</v>
      </c>
      <c r="J30" s="5">
        <f>AVERAGE(All_India_Index_Upto_April23__1___1[[#This Row],[Transport and communication]])</f>
        <v>109.9</v>
      </c>
      <c r="K30" s="5">
        <f>AVERAGE(All_India_Index_Upto_April23__1___1[[#This Row],[Recreation and amusement]])</f>
        <v>107.5</v>
      </c>
      <c r="L30" s="5">
        <f>AVERAGE(All_India_Index_Upto_April23__1___1[[#This Row],[Education]])</f>
        <v>110.6</v>
      </c>
      <c r="M30" s="5">
        <f>AVERAGE(All_India_Index_Upto_April23__1___1[[#This Row],[Personal care and effects]])</f>
        <v>106.8</v>
      </c>
      <c r="N30" s="5">
        <f>AVERAGE(All_India_Index_Upto_April23__1___1[[#This Row],[Miscellaneous]])</f>
        <v>109</v>
      </c>
      <c r="O30" s="5">
        <f>AVERAGE(All_India_Index_Upto_April23__1___1[[#This Row],[General index]])</f>
        <v>113.7</v>
      </c>
      <c r="P30" s="2">
        <f>AVERAGE(E30:N30)</f>
        <v>110.13961538461538</v>
      </c>
      <c r="R30" s="9">
        <f t="shared" si="2"/>
        <v>104.18245373878608</v>
      </c>
      <c r="S30" s="9">
        <f t="shared" si="3"/>
        <v>101.68911486469969</v>
      </c>
      <c r="T30" s="9">
        <f t="shared" si="4"/>
        <v>101.23514560191087</v>
      </c>
      <c r="U30" s="9">
        <f t="shared" si="5"/>
        <v>100.32720707633318</v>
      </c>
      <c r="V30" s="9">
        <f t="shared" si="6"/>
        <v>98.829108509130009</v>
      </c>
      <c r="W30" s="9">
        <f t="shared" si="7"/>
        <v>99.782443960986583</v>
      </c>
      <c r="X30" s="9">
        <f t="shared" si="8"/>
        <v>97.60339149960015</v>
      </c>
      <c r="Y30" s="9">
        <f t="shared" si="9"/>
        <v>100.41800092889095</v>
      </c>
      <c r="Z30" s="9">
        <f t="shared" si="10"/>
        <v>96.967834531695786</v>
      </c>
    </row>
    <row r="31" spans="1:26" hidden="1" x14ac:dyDescent="0.3">
      <c r="A31" s="5" t="s">
        <v>30</v>
      </c>
      <c r="B31" s="5">
        <v>2013</v>
      </c>
      <c r="C31" s="5" t="s">
        <v>49</v>
      </c>
      <c r="D31" s="21">
        <f t="shared" si="0"/>
        <v>41548</v>
      </c>
      <c r="E31" s="4">
        <f>AVERAGE(All_India_Index_Upto_April23__1___1[[#This Row],[Cereals and products]:[Food and beverages]])</f>
        <v>116</v>
      </c>
      <c r="F31" s="5">
        <f>AVERAGE(All_India_Index_Upto_April23__1___1[[#This Row],[Pan, tobacco and intoxicants]])</f>
        <v>112.2</v>
      </c>
      <c r="G31" s="4">
        <f>AVERAGE(All_India_Index_Upto_April23__1___1[[#This Row],[Clothing]:[Clothing and footwear]])</f>
        <v>113.09999999999998</v>
      </c>
      <c r="H31" s="5">
        <f>AVERAGE(All_India_Index_Upto_April23__1___1[[#This Row],[Housing]:[Fuel and light]])</f>
        <v>111.6</v>
      </c>
      <c r="I31" s="5">
        <f>AVERAGE(All_India_Index_Upto_April23__1___1[[#This Row],[Household goods and services]:[Health]])</f>
        <v>109.65</v>
      </c>
      <c r="J31" s="5">
        <f>AVERAGE(All_India_Index_Upto_April23__1___1[[#This Row],[Transport and communication]])</f>
        <v>109.3</v>
      </c>
      <c r="K31" s="5">
        <f>AVERAGE(All_India_Index_Upto_April23__1___1[[#This Row],[Recreation and amusement]])</f>
        <v>108.3</v>
      </c>
      <c r="L31" s="5">
        <f>AVERAGE(All_India_Index_Upto_April23__1___1[[#This Row],[Education]])</f>
        <v>110.2</v>
      </c>
      <c r="M31" s="5">
        <f>AVERAGE(All_India_Index_Upto_April23__1___1[[#This Row],[Personal care and effects]])</f>
        <v>107.5</v>
      </c>
      <c r="N31" s="5">
        <f>AVERAGE(All_India_Index_Upto_April23__1___1[[#This Row],[Miscellaneous]])</f>
        <v>109.1</v>
      </c>
      <c r="O31" s="5">
        <f>AVERAGE(All_India_Index_Upto_April23__1___1[[#This Row],[General index]])</f>
        <v>115.5</v>
      </c>
      <c r="P31" s="2">
        <f t="shared" si="1"/>
        <v>997.84999999999991</v>
      </c>
      <c r="R31" s="9">
        <f t="shared" si="2"/>
        <v>11.624993736533549</v>
      </c>
      <c r="S31" s="9">
        <f t="shared" si="3"/>
        <v>11.244174976198828</v>
      </c>
      <c r="T31" s="9">
        <f t="shared" si="4"/>
        <v>11.334368893120207</v>
      </c>
      <c r="U31" s="9">
        <f t="shared" si="5"/>
        <v>11.184045698251241</v>
      </c>
      <c r="V31" s="9">
        <f t="shared" si="6"/>
        <v>10.988625544921584</v>
      </c>
      <c r="W31" s="9">
        <f t="shared" si="7"/>
        <v>10.953550132785489</v>
      </c>
      <c r="X31" s="9">
        <f t="shared" si="8"/>
        <v>10.85333466953951</v>
      </c>
      <c r="Y31" s="9">
        <f t="shared" si="9"/>
        <v>11.043744049706872</v>
      </c>
      <c r="Z31" s="9">
        <f t="shared" si="10"/>
        <v>10.773162298942728</v>
      </c>
    </row>
    <row r="32" spans="1:26" hidden="1" x14ac:dyDescent="0.3">
      <c r="A32" s="6" t="s">
        <v>32</v>
      </c>
      <c r="B32" s="6">
        <v>2013</v>
      </c>
      <c r="C32" s="6" t="s">
        <v>49</v>
      </c>
      <c r="D32" s="21">
        <f t="shared" si="0"/>
        <v>41548</v>
      </c>
      <c r="E32" s="4">
        <f>AVERAGE(All_India_Index_Upto_April23__1___1[[#This Row],[Cereals and products]:[Food and beverages]])</f>
        <v>116.7076923076923</v>
      </c>
      <c r="F32" s="5">
        <f>AVERAGE(All_India_Index_Upto_April23__1___1[[#This Row],[Pan, tobacco and intoxicants]])</f>
        <v>113.5</v>
      </c>
      <c r="G32" s="4">
        <f>AVERAGE(All_India_Index_Upto_April23__1___1[[#This Row],[Clothing]:[Clothing and footwear]])</f>
        <v>111.39999999999999</v>
      </c>
      <c r="H32" s="5">
        <f>AVERAGE(All_India_Index_Upto_April23__1___1[[#This Row],[Housing]:[Fuel and light]])</f>
        <v>109.7</v>
      </c>
      <c r="I32" s="5">
        <f>AVERAGE(All_India_Index_Upto_April23__1___1[[#This Row],[Household goods and services]:[Health]])</f>
        <v>109.2</v>
      </c>
      <c r="J32" s="5">
        <f>AVERAGE(All_India_Index_Upto_April23__1___1[[#This Row],[Transport and communication]])</f>
        <v>109.7</v>
      </c>
      <c r="K32" s="5">
        <f>AVERAGE(All_India_Index_Upto_April23__1___1[[#This Row],[Recreation and amusement]])</f>
        <v>108</v>
      </c>
      <c r="L32" s="5">
        <f>AVERAGE(All_India_Index_Upto_April23__1___1[[#This Row],[Education]])</f>
        <v>111.3</v>
      </c>
      <c r="M32" s="5">
        <f>AVERAGE(All_India_Index_Upto_April23__1___1[[#This Row],[Personal care and effects]])</f>
        <v>107.3</v>
      </c>
      <c r="N32" s="5">
        <f>AVERAGE(All_India_Index_Upto_April23__1___1[[#This Row],[Miscellaneous]])</f>
        <v>109.4</v>
      </c>
      <c r="O32" s="5">
        <f>AVERAGE(All_India_Index_Upto_April23__1___1[[#This Row],[General index]])</f>
        <v>114</v>
      </c>
      <c r="P32" s="2">
        <f t="shared" si="1"/>
        <v>996.80769230769226</v>
      </c>
      <c r="R32" s="9">
        <f t="shared" si="2"/>
        <v>11.70814523285874</v>
      </c>
      <c r="S32" s="9">
        <f t="shared" si="3"/>
        <v>11.386348728633717</v>
      </c>
      <c r="T32" s="9">
        <f t="shared" si="4"/>
        <v>11.175676197090713</v>
      </c>
      <c r="U32" s="9">
        <f t="shared" si="5"/>
        <v>11.005131766793996</v>
      </c>
      <c r="V32" s="9">
        <f t="shared" si="6"/>
        <v>10.954971640236138</v>
      </c>
      <c r="W32" s="9">
        <f t="shared" si="7"/>
        <v>11.005131766793996</v>
      </c>
      <c r="X32" s="9">
        <f t="shared" si="8"/>
        <v>10.834587336497279</v>
      </c>
      <c r="Y32" s="9">
        <f t="shared" si="9"/>
        <v>11.165644171779142</v>
      </c>
      <c r="Z32" s="9">
        <f t="shared" si="10"/>
        <v>10.764363159316279</v>
      </c>
    </row>
    <row r="33" spans="1:26" hidden="1" x14ac:dyDescent="0.3">
      <c r="A33" s="5" t="s">
        <v>34</v>
      </c>
      <c r="B33" s="5">
        <v>2013</v>
      </c>
      <c r="C33" s="5" t="s">
        <v>49</v>
      </c>
      <c r="D33" s="21">
        <f t="shared" si="0"/>
        <v>41548</v>
      </c>
      <c r="E33" s="4">
        <f>AVERAGE(All_India_Index_Upto_April23__1___1[[#This Row],[Cereals and products]:[Food and beverages]])</f>
        <v>116.16923076923079</v>
      </c>
      <c r="F33" s="5">
        <f>AVERAGE(All_India_Index_Upto_April23__1___1[[#This Row],[Pan, tobacco and intoxicants]])</f>
        <v>112.5</v>
      </c>
      <c r="G33" s="4">
        <f>AVERAGE(All_India_Index_Upto_April23__1___1[[#This Row],[Clothing]:[Clothing and footwear]])</f>
        <v>112.39999999999999</v>
      </c>
      <c r="H33" s="5">
        <f>AVERAGE(All_India_Index_Upto_April23__1___1[[#This Row],[Housing]:[Fuel and light]])</f>
        <v>110.9</v>
      </c>
      <c r="I33" s="5">
        <f>AVERAGE(All_India_Index_Upto_April23__1___1[[#This Row],[Household goods and services]:[Health]])</f>
        <v>109.44999999999999</v>
      </c>
      <c r="J33" s="5">
        <f>AVERAGE(All_India_Index_Upto_April23__1___1[[#This Row],[Transport and communication]])</f>
        <v>109.5</v>
      </c>
      <c r="K33" s="5">
        <f>AVERAGE(All_India_Index_Upto_April23__1___1[[#This Row],[Recreation and amusement]])</f>
        <v>108.1</v>
      </c>
      <c r="L33" s="5">
        <f>AVERAGE(All_India_Index_Upto_April23__1___1[[#This Row],[Education]])</f>
        <v>110.8</v>
      </c>
      <c r="M33" s="5">
        <f>AVERAGE(All_India_Index_Upto_April23__1___1[[#This Row],[Personal care and effects]])</f>
        <v>107.4</v>
      </c>
      <c r="N33" s="5">
        <f>AVERAGE(All_India_Index_Upto_April23__1___1[[#This Row],[Miscellaneous]])</f>
        <v>109.2</v>
      </c>
      <c r="O33" s="5">
        <f>AVERAGE(All_India_Index_Upto_April23__1___1[[#This Row],[General index]])</f>
        <v>114.8</v>
      </c>
      <c r="P33" s="2">
        <f>AVERAGE(E33:N33)</f>
        <v>110.64192307692308</v>
      </c>
      <c r="R33" s="9">
        <f t="shared" si="2"/>
        <v>104.99567210926448</v>
      </c>
      <c r="S33" s="9">
        <f t="shared" si="3"/>
        <v>101.67936065408507</v>
      </c>
      <c r="T33" s="9">
        <f t="shared" si="4"/>
        <v>101.58897900017033</v>
      </c>
      <c r="U33" s="9">
        <f t="shared" si="5"/>
        <v>100.23325419144919</v>
      </c>
      <c r="V33" s="9">
        <f t="shared" si="6"/>
        <v>98.922720209685423</v>
      </c>
      <c r="W33" s="9">
        <f t="shared" si="7"/>
        <v>98.967911036642803</v>
      </c>
      <c r="X33" s="9">
        <f t="shared" si="8"/>
        <v>97.702567881836416</v>
      </c>
      <c r="Y33" s="9">
        <f t="shared" si="9"/>
        <v>100.14287253753444</v>
      </c>
      <c r="Z33" s="9">
        <f t="shared" si="10"/>
        <v>97.069896304433229</v>
      </c>
    </row>
    <row r="34" spans="1:26" hidden="1" x14ac:dyDescent="0.3">
      <c r="A34" s="6" t="s">
        <v>30</v>
      </c>
      <c r="B34" s="6">
        <v>2013</v>
      </c>
      <c r="C34" s="6" t="s">
        <v>51</v>
      </c>
      <c r="D34" s="21">
        <f t="shared" si="0"/>
        <v>41579</v>
      </c>
      <c r="E34" s="4">
        <f>AVERAGE(All_India_Index_Upto_April23__1___1[[#This Row],[Cereals and products]:[Food and beverages]])</f>
        <v>118.21538461538461</v>
      </c>
      <c r="F34" s="5">
        <f>AVERAGE(All_India_Index_Upto_April23__1___1[[#This Row],[Pan, tobacco and intoxicants]])</f>
        <v>112.8</v>
      </c>
      <c r="G34" s="4">
        <f>AVERAGE(All_India_Index_Upto_April23__1___1[[#This Row],[Clothing]:[Clothing and footwear]])</f>
        <v>114.03333333333335</v>
      </c>
      <c r="H34" s="5">
        <f>AVERAGE(All_India_Index_Upto_April23__1___1[[#This Row],[Housing]:[Fuel and light]])</f>
        <v>112.6</v>
      </c>
      <c r="I34" s="5">
        <f>AVERAGE(All_India_Index_Upto_April23__1___1[[#This Row],[Household goods and services]:[Health]])</f>
        <v>110.5</v>
      </c>
      <c r="J34" s="5">
        <f>AVERAGE(All_India_Index_Upto_April23__1___1[[#This Row],[Transport and communication]])</f>
        <v>109.6</v>
      </c>
      <c r="K34" s="5">
        <f>AVERAGE(All_India_Index_Upto_April23__1___1[[#This Row],[Recreation and amusement]])</f>
        <v>108.7</v>
      </c>
      <c r="L34" s="5">
        <f>AVERAGE(All_India_Index_Upto_April23__1___1[[#This Row],[Education]])</f>
        <v>111</v>
      </c>
      <c r="M34" s="5">
        <f>AVERAGE(All_India_Index_Upto_April23__1___1[[#This Row],[Personal care and effects]])</f>
        <v>108.2</v>
      </c>
      <c r="N34" s="5">
        <f>AVERAGE(All_India_Index_Upto_April23__1___1[[#This Row],[Miscellaneous]])</f>
        <v>109.8</v>
      </c>
      <c r="O34" s="5">
        <f>AVERAGE(All_India_Index_Upto_April23__1___1[[#This Row],[General index]])</f>
        <v>117.4</v>
      </c>
      <c r="P34" s="2">
        <f t="shared" si="1"/>
        <v>1005.6487179487181</v>
      </c>
      <c r="R34" s="9">
        <f t="shared" si="2"/>
        <v>11.755137008130992</v>
      </c>
      <c r="S34" s="9">
        <f t="shared" si="3"/>
        <v>11.216640362261378</v>
      </c>
      <c r="T34" s="9">
        <f t="shared" si="4"/>
        <v>11.339280933598161</v>
      </c>
      <c r="U34" s="9">
        <f t="shared" si="5"/>
        <v>11.196752702044604</v>
      </c>
      <c r="V34" s="9">
        <f t="shared" si="6"/>
        <v>10.987932269768461</v>
      </c>
      <c r="W34" s="9">
        <f t="shared" si="7"/>
        <v>10.898437798792971</v>
      </c>
      <c r="X34" s="9">
        <f t="shared" si="8"/>
        <v>10.808943327817481</v>
      </c>
      <c r="Y34" s="9">
        <f t="shared" si="9"/>
        <v>11.037651420310398</v>
      </c>
      <c r="Z34" s="9">
        <f t="shared" si="10"/>
        <v>10.759224177275541</v>
      </c>
    </row>
    <row r="35" spans="1:26" hidden="1" x14ac:dyDescent="0.3">
      <c r="A35" s="5" t="s">
        <v>32</v>
      </c>
      <c r="B35" s="5">
        <v>2013</v>
      </c>
      <c r="C35" s="5" t="s">
        <v>52</v>
      </c>
      <c r="D35" s="21">
        <f t="shared" si="0"/>
        <v>41579</v>
      </c>
      <c r="E35" s="4">
        <f>AVERAGE(All_India_Index_Upto_April23__1___1[[#This Row],[Cereals and products]:[Food and beverages]])</f>
        <v>118.8153846153846</v>
      </c>
      <c r="F35" s="5">
        <f>AVERAGE(All_India_Index_Upto_April23__1___1[[#This Row],[Pan, tobacco and intoxicants]])</f>
        <v>114.1</v>
      </c>
      <c r="G35" s="4">
        <f>AVERAGE(All_India_Index_Upto_April23__1___1[[#This Row],[Clothing]:[Clothing and footwear]])</f>
        <v>112.26666666666667</v>
      </c>
      <c r="H35" s="5">
        <f>AVERAGE(All_India_Index_Upto_April23__1___1[[#This Row],[Housing]:[Fuel and light]])</f>
        <v>110</v>
      </c>
      <c r="I35" s="5">
        <f>AVERAGE(All_India_Index_Upto_April23__1___1[[#This Row],[Household goods and services]:[Health]])</f>
        <v>109.75</v>
      </c>
      <c r="J35" s="5">
        <f>AVERAGE(All_India_Index_Upto_April23__1___1[[#This Row],[Transport and communication]])</f>
        <v>109.5</v>
      </c>
      <c r="K35" s="5">
        <f>AVERAGE(All_India_Index_Upto_April23__1___1[[#This Row],[Recreation and amusement]])</f>
        <v>108.5</v>
      </c>
      <c r="L35" s="5">
        <f>AVERAGE(All_India_Index_Upto_April23__1___1[[#This Row],[Education]])</f>
        <v>111.3</v>
      </c>
      <c r="M35" s="5">
        <f>AVERAGE(All_India_Index_Upto_April23__1___1[[#This Row],[Personal care and effects]])</f>
        <v>107.9</v>
      </c>
      <c r="N35" s="5">
        <f>AVERAGE(All_India_Index_Upto_April23__1___1[[#This Row],[Miscellaneous]])</f>
        <v>109.6</v>
      </c>
      <c r="O35" s="5">
        <f>AVERAGE(All_India_Index_Upto_April23__1___1[[#This Row],[General index]])</f>
        <v>115</v>
      </c>
      <c r="P35" s="2">
        <f t="shared" si="1"/>
        <v>1002.1320512820512</v>
      </c>
      <c r="R35" s="9">
        <f t="shared" si="2"/>
        <v>11.856260306551544</v>
      </c>
      <c r="S35" s="9">
        <f t="shared" si="3"/>
        <v>11.385725050309405</v>
      </c>
      <c r="T35" s="9">
        <f t="shared" si="4"/>
        <v>11.202781761449629</v>
      </c>
      <c r="U35" s="9">
        <f t="shared" si="5"/>
        <v>10.97659733158663</v>
      </c>
      <c r="V35" s="9">
        <f t="shared" si="6"/>
        <v>10.951650519469389</v>
      </c>
      <c r="W35" s="9">
        <f t="shared" si="7"/>
        <v>10.926703707352146</v>
      </c>
      <c r="X35" s="9">
        <f t="shared" si="8"/>
        <v>10.826916458883177</v>
      </c>
      <c r="Y35" s="9">
        <f t="shared" si="9"/>
        <v>11.106320754596291</v>
      </c>
      <c r="Z35" s="9">
        <f t="shared" si="10"/>
        <v>10.767044109801796</v>
      </c>
    </row>
    <row r="36" spans="1:26" hidden="1" x14ac:dyDescent="0.3">
      <c r="A36" s="6" t="s">
        <v>34</v>
      </c>
      <c r="B36" s="6">
        <v>2013</v>
      </c>
      <c r="C36" s="6" t="s">
        <v>52</v>
      </c>
      <c r="D36" s="21">
        <f t="shared" si="0"/>
        <v>41579</v>
      </c>
      <c r="E36" s="4">
        <f>AVERAGE(All_India_Index_Upto_April23__1___1[[#This Row],[Cereals and products]:[Food and beverages]])</f>
        <v>118.36923076923077</v>
      </c>
      <c r="F36" s="5">
        <f>AVERAGE(All_India_Index_Upto_April23__1___1[[#This Row],[Pan, tobacco and intoxicants]])</f>
        <v>113.1</v>
      </c>
      <c r="G36" s="4">
        <f>AVERAGE(All_India_Index_Upto_April23__1___1[[#This Row],[Clothing]:[Clothing and footwear]])</f>
        <v>113.30000000000001</v>
      </c>
      <c r="H36" s="5">
        <f>AVERAGE(All_India_Index_Upto_April23__1___1[[#This Row],[Housing]:[Fuel and light]])</f>
        <v>111.6</v>
      </c>
      <c r="I36" s="5">
        <f>AVERAGE(All_India_Index_Upto_April23__1___1[[#This Row],[Household goods and services]:[Health]])</f>
        <v>110.19999999999999</v>
      </c>
      <c r="J36" s="5">
        <f>AVERAGE(All_India_Index_Upto_April23__1___1[[#This Row],[Transport and communication]])</f>
        <v>109.5</v>
      </c>
      <c r="K36" s="5">
        <f>AVERAGE(All_India_Index_Upto_April23__1___1[[#This Row],[Recreation and amusement]])</f>
        <v>108.6</v>
      </c>
      <c r="L36" s="5">
        <f>AVERAGE(All_India_Index_Upto_April23__1___1[[#This Row],[Education]])</f>
        <v>111.2</v>
      </c>
      <c r="M36" s="5">
        <f>AVERAGE(All_India_Index_Upto_April23__1___1[[#This Row],[Personal care and effects]])</f>
        <v>108.1</v>
      </c>
      <c r="N36" s="5">
        <f>AVERAGE(All_India_Index_Upto_April23__1___1[[#This Row],[Miscellaneous]])</f>
        <v>109.7</v>
      </c>
      <c r="O36" s="5">
        <f>AVERAGE(All_India_Index_Upto_April23__1___1[[#This Row],[General index]])</f>
        <v>116.3</v>
      </c>
      <c r="P36" s="2">
        <f>AVERAGE(E36:N36)</f>
        <v>111.36692307692309</v>
      </c>
      <c r="R36" s="9">
        <f t="shared" si="2"/>
        <v>106.28760093108711</v>
      </c>
      <c r="S36" s="9">
        <f t="shared" si="3"/>
        <v>101.55618641082491</v>
      </c>
      <c r="T36" s="9">
        <f t="shared" si="4"/>
        <v>101.73577294736043</v>
      </c>
      <c r="U36" s="9">
        <f t="shared" si="5"/>
        <v>100.20928738680865</v>
      </c>
      <c r="V36" s="9">
        <f t="shared" si="6"/>
        <v>98.952181631060171</v>
      </c>
      <c r="W36" s="9">
        <f t="shared" si="7"/>
        <v>98.323628753185915</v>
      </c>
      <c r="X36" s="9">
        <f t="shared" si="8"/>
        <v>97.515489338776177</v>
      </c>
      <c r="Y36" s="9">
        <f t="shared" si="9"/>
        <v>99.850114313737663</v>
      </c>
      <c r="Z36" s="9">
        <f t="shared" si="10"/>
        <v>97.066522997437417</v>
      </c>
    </row>
    <row r="37" spans="1:26" hidden="1" x14ac:dyDescent="0.3">
      <c r="A37" s="5" t="s">
        <v>30</v>
      </c>
      <c r="B37" s="5">
        <v>2013</v>
      </c>
      <c r="C37" s="5" t="s">
        <v>54</v>
      </c>
      <c r="D37" s="21">
        <f t="shared" si="0"/>
        <v>41609</v>
      </c>
      <c r="E37" s="4">
        <f>AVERAGE(All_India_Index_Upto_April23__1___1[[#This Row],[Cereals and products]:[Food and beverages]])</f>
        <v>116.07692307692308</v>
      </c>
      <c r="F37" s="5">
        <f>AVERAGE(All_India_Index_Upto_April23__1___1[[#This Row],[Pan, tobacco and intoxicants]])</f>
        <v>113.6</v>
      </c>
      <c r="G37" s="4">
        <f>AVERAGE(All_India_Index_Upto_April23__1___1[[#This Row],[Clothing]:[Clothing and footwear]])</f>
        <v>115.10000000000001</v>
      </c>
      <c r="H37" s="5">
        <f>AVERAGE(All_India_Index_Upto_April23__1___1[[#This Row],[Housing]:[Fuel and light]])</f>
        <v>112.8</v>
      </c>
      <c r="I37" s="5">
        <f>AVERAGE(All_India_Index_Upto_April23__1___1[[#This Row],[Household goods and services]:[Health]])</f>
        <v>111.1</v>
      </c>
      <c r="J37" s="5">
        <f>AVERAGE(All_India_Index_Upto_April23__1___1[[#This Row],[Transport and communication]])</f>
        <v>109.9</v>
      </c>
      <c r="K37" s="5">
        <f>AVERAGE(All_India_Index_Upto_April23__1___1[[#This Row],[Recreation and amusement]])</f>
        <v>109.2</v>
      </c>
      <c r="L37" s="5">
        <f>AVERAGE(All_India_Index_Upto_April23__1___1[[#This Row],[Education]])</f>
        <v>111.6</v>
      </c>
      <c r="M37" s="5">
        <f>AVERAGE(All_India_Index_Upto_April23__1___1[[#This Row],[Personal care and effects]])</f>
        <v>108.1</v>
      </c>
      <c r="N37" s="5">
        <f>AVERAGE(All_India_Index_Upto_April23__1___1[[#This Row],[Miscellaneous]])</f>
        <v>110.1</v>
      </c>
      <c r="O37" s="5">
        <f>AVERAGE(All_India_Index_Upto_April23__1___1[[#This Row],[General index]])</f>
        <v>115.5</v>
      </c>
      <c r="P37" s="2">
        <f t="shared" si="1"/>
        <v>1007.4769230769232</v>
      </c>
      <c r="R37" s="9">
        <f t="shared" si="2"/>
        <v>11.521546590110862</v>
      </c>
      <c r="S37" s="9">
        <f t="shared" si="3"/>
        <v>11.275692514430563</v>
      </c>
      <c r="T37" s="9">
        <f t="shared" si="4"/>
        <v>11.424579299392237</v>
      </c>
      <c r="U37" s="9">
        <f t="shared" si="5"/>
        <v>11.196286229117673</v>
      </c>
      <c r="V37" s="9">
        <f t="shared" si="6"/>
        <v>11.027547872827778</v>
      </c>
      <c r="W37" s="9">
        <f t="shared" si="7"/>
        <v>10.908438444858442</v>
      </c>
      <c r="X37" s="9">
        <f t="shared" si="8"/>
        <v>10.838957945209662</v>
      </c>
      <c r="Y37" s="9">
        <f t="shared" si="9"/>
        <v>11.077176801148335</v>
      </c>
      <c r="Z37" s="9">
        <f t="shared" si="10"/>
        <v>10.729774302904437</v>
      </c>
    </row>
    <row r="38" spans="1:26" hidden="1" x14ac:dyDescent="0.3">
      <c r="A38" s="6" t="s">
        <v>32</v>
      </c>
      <c r="B38" s="6">
        <v>2013</v>
      </c>
      <c r="C38" s="6" t="s">
        <v>54</v>
      </c>
      <c r="D38" s="21">
        <f t="shared" si="0"/>
        <v>41609</v>
      </c>
      <c r="E38" s="4">
        <f>AVERAGE(All_India_Index_Upto_April23__1___1[[#This Row],[Cereals and products]:[Food and beverages]])</f>
        <v>115.72307692307693</v>
      </c>
      <c r="F38" s="5">
        <f>AVERAGE(All_India_Index_Upto_April23__1___1[[#This Row],[Pan, tobacco and intoxicants]])</f>
        <v>115</v>
      </c>
      <c r="G38" s="4">
        <f>AVERAGE(All_India_Index_Upto_April23__1___1[[#This Row],[Clothing]:[Clothing and footwear]])</f>
        <v>112.93333333333334</v>
      </c>
      <c r="H38" s="5">
        <f>AVERAGE(All_India_Index_Upto_April23__1___1[[#This Row],[Housing]:[Fuel and light]])</f>
        <v>110.4</v>
      </c>
      <c r="I38" s="5">
        <f>AVERAGE(All_India_Index_Upto_April23__1___1[[#This Row],[Household goods and services]:[Health]])</f>
        <v>110.15</v>
      </c>
      <c r="J38" s="5">
        <f>AVERAGE(All_India_Index_Upto_April23__1___1[[#This Row],[Transport and communication]])</f>
        <v>109.7</v>
      </c>
      <c r="K38" s="5">
        <f>AVERAGE(All_India_Index_Upto_April23__1___1[[#This Row],[Recreation and amusement]])</f>
        <v>108.9</v>
      </c>
      <c r="L38" s="5">
        <f>AVERAGE(All_India_Index_Upto_April23__1___1[[#This Row],[Education]])</f>
        <v>111.4</v>
      </c>
      <c r="M38" s="5">
        <f>AVERAGE(All_India_Index_Upto_April23__1___1[[#This Row],[Personal care and effects]])</f>
        <v>107.7</v>
      </c>
      <c r="N38" s="5">
        <f>AVERAGE(All_India_Index_Upto_April23__1___1[[#This Row],[Miscellaneous]])</f>
        <v>109.8</v>
      </c>
      <c r="O38" s="5">
        <f>AVERAGE(All_India_Index_Upto_April23__1___1[[#This Row],[General index]])</f>
        <v>113.3</v>
      </c>
      <c r="P38" s="2">
        <f t="shared" si="1"/>
        <v>1001.9064102564103</v>
      </c>
      <c r="R38" s="9">
        <f t="shared" si="2"/>
        <v>11.55028810460059</v>
      </c>
      <c r="S38" s="9">
        <f t="shared" si="3"/>
        <v>11.478117998124089</v>
      </c>
      <c r="T38" s="9">
        <f t="shared" si="4"/>
        <v>11.271844573230265</v>
      </c>
      <c r="U38" s="9">
        <f t="shared" si="5"/>
        <v>11.018993278199126</v>
      </c>
      <c r="V38" s="9">
        <f t="shared" si="6"/>
        <v>10.994040847768421</v>
      </c>
      <c r="W38" s="9">
        <f t="shared" si="7"/>
        <v>10.949126472993154</v>
      </c>
      <c r="X38" s="9">
        <f t="shared" si="8"/>
        <v>10.869278695614899</v>
      </c>
      <c r="Y38" s="9">
        <f t="shared" si="9"/>
        <v>11.118802999921943</v>
      </c>
      <c r="Z38" s="9">
        <f t="shared" si="10"/>
        <v>10.749507029547518</v>
      </c>
    </row>
    <row r="39" spans="1:26" hidden="1" x14ac:dyDescent="0.3">
      <c r="A39" s="5" t="s">
        <v>34</v>
      </c>
      <c r="B39" s="5">
        <v>2013</v>
      </c>
      <c r="C39" s="5" t="s">
        <v>54</v>
      </c>
      <c r="D39" s="21">
        <f t="shared" si="0"/>
        <v>41609</v>
      </c>
      <c r="E39" s="4">
        <f>AVERAGE(All_India_Index_Upto_April23__1___1[[#This Row],[Cereals and products]:[Food and beverages]])</f>
        <v>115.94615384615386</v>
      </c>
      <c r="F39" s="5">
        <f>AVERAGE(All_India_Index_Upto_April23__1___1[[#This Row],[Pan, tobacco and intoxicants]])</f>
        <v>114</v>
      </c>
      <c r="G39" s="4">
        <f>AVERAGE(All_India_Index_Upto_April23__1___1[[#This Row],[Clothing]:[Clothing and footwear]])</f>
        <v>114.23333333333333</v>
      </c>
      <c r="H39" s="5">
        <f>AVERAGE(All_India_Index_Upto_April23__1___1[[#This Row],[Housing]:[Fuel and light]])</f>
        <v>111.9</v>
      </c>
      <c r="I39" s="5">
        <f>AVERAGE(All_India_Index_Upto_April23__1___1[[#This Row],[Household goods and services]:[Health]])</f>
        <v>110.7</v>
      </c>
      <c r="J39" s="5">
        <f>AVERAGE(All_India_Index_Upto_April23__1___1[[#This Row],[Transport and communication]])</f>
        <v>109.8</v>
      </c>
      <c r="K39" s="5">
        <f>AVERAGE(All_India_Index_Upto_April23__1___1[[#This Row],[Recreation and amusement]])</f>
        <v>109</v>
      </c>
      <c r="L39" s="5">
        <f>AVERAGE(All_India_Index_Upto_April23__1___1[[#This Row],[Education]])</f>
        <v>111.5</v>
      </c>
      <c r="M39" s="5">
        <f>AVERAGE(All_India_Index_Upto_April23__1___1[[#This Row],[Personal care and effects]])</f>
        <v>107.9</v>
      </c>
      <c r="N39" s="5">
        <f>AVERAGE(All_India_Index_Upto_April23__1___1[[#This Row],[Miscellaneous]])</f>
        <v>110</v>
      </c>
      <c r="O39" s="5">
        <f>AVERAGE(All_India_Index_Upto_April23__1___1[[#This Row],[General index]])</f>
        <v>114.5</v>
      </c>
      <c r="P39" s="2">
        <f>AVERAGE(E39:N39)</f>
        <v>111.4979487179487</v>
      </c>
      <c r="R39" s="9">
        <f t="shared" si="2"/>
        <v>103.98949503497825</v>
      </c>
      <c r="S39" s="9">
        <f t="shared" si="3"/>
        <v>102.24403346502868</v>
      </c>
      <c r="T39" s="9">
        <f t="shared" si="4"/>
        <v>102.4533048785536</v>
      </c>
      <c r="U39" s="9">
        <f t="shared" si="5"/>
        <v>100.36059074330448</v>
      </c>
      <c r="V39" s="9">
        <f t="shared" si="6"/>
        <v>99.284337759462076</v>
      </c>
      <c r="W39" s="9">
        <f t="shared" si="7"/>
        <v>98.477148021580263</v>
      </c>
      <c r="X39" s="9">
        <f t="shared" si="8"/>
        <v>97.759646032351995</v>
      </c>
      <c r="Y39" s="9">
        <f t="shared" si="9"/>
        <v>100.00183974869034</v>
      </c>
      <c r="Z39" s="9">
        <f t="shared" si="10"/>
        <v>96.773080797163118</v>
      </c>
    </row>
    <row r="40" spans="1:26" hidden="1" x14ac:dyDescent="0.3">
      <c r="A40" s="6" t="s">
        <v>30</v>
      </c>
      <c r="B40" s="6">
        <v>2014</v>
      </c>
      <c r="C40" s="6" t="s">
        <v>31</v>
      </c>
      <c r="D40" s="21">
        <f t="shared" si="0"/>
        <v>41640</v>
      </c>
      <c r="E40" s="4">
        <f>AVERAGE(All_India_Index_Upto_April23__1___1[[#This Row],[Cereals and products]:[Food and beverages]])</f>
        <v>114.35384615384616</v>
      </c>
      <c r="F40" s="5">
        <f>AVERAGE(All_India_Index_Upto_April23__1___1[[#This Row],[Pan, tobacco and intoxicants]])</f>
        <v>114</v>
      </c>
      <c r="G40" s="4">
        <f>AVERAGE(All_India_Index_Upto_April23__1___1[[#This Row],[Clothing]:[Clothing and footwear]])</f>
        <v>115.73333333333333</v>
      </c>
      <c r="H40" s="5">
        <f>AVERAGE(All_India_Index_Upto_April23__1___1[[#This Row],[Housing]:[Fuel and light]])</f>
        <v>113</v>
      </c>
      <c r="I40" s="5">
        <f>AVERAGE(All_India_Index_Upto_April23__1___1[[#This Row],[Household goods and services]:[Health]])</f>
        <v>111.6</v>
      </c>
      <c r="J40" s="5">
        <f>AVERAGE(All_India_Index_Upto_April23__1___1[[#This Row],[Transport and communication]])</f>
        <v>110.5</v>
      </c>
      <c r="K40" s="5">
        <f>AVERAGE(All_India_Index_Upto_April23__1___1[[#This Row],[Recreation and amusement]])</f>
        <v>109.6</v>
      </c>
      <c r="L40" s="5">
        <f>AVERAGE(All_India_Index_Upto_April23__1___1[[#This Row],[Education]])</f>
        <v>111.8</v>
      </c>
      <c r="M40" s="5">
        <f>AVERAGE(All_India_Index_Upto_April23__1___1[[#This Row],[Personal care and effects]])</f>
        <v>108.3</v>
      </c>
      <c r="N40" s="5">
        <f>AVERAGE(All_India_Index_Upto_April23__1___1[[#This Row],[Miscellaneous]])</f>
        <v>110.6</v>
      </c>
      <c r="O40" s="5">
        <f>AVERAGE(All_India_Index_Upto_April23__1___1[[#This Row],[General index]])</f>
        <v>114.2</v>
      </c>
      <c r="P40" s="2">
        <f t="shared" si="1"/>
        <v>1008.8871794871794</v>
      </c>
      <c r="R40" s="10">
        <f t="shared" si="2"/>
        <v>11.334651532788095</v>
      </c>
      <c r="S40" s="10">
        <f t="shared" si="3"/>
        <v>11.299578616703858</v>
      </c>
      <c r="T40" s="10">
        <f t="shared" si="4"/>
        <v>11.47138507520345</v>
      </c>
      <c r="U40" s="10">
        <f t="shared" si="5"/>
        <v>11.200459506031017</v>
      </c>
      <c r="V40" s="10">
        <f t="shared" si="6"/>
        <v>11.061692751089039</v>
      </c>
      <c r="W40" s="10">
        <f t="shared" si="7"/>
        <v>10.952661729348916</v>
      </c>
      <c r="X40" s="10">
        <f t="shared" si="8"/>
        <v>10.863454529743358</v>
      </c>
      <c r="Y40" s="10">
        <f t="shared" si="9"/>
        <v>11.081516573223608</v>
      </c>
      <c r="Z40" s="10">
        <f t="shared" si="10"/>
        <v>10.734599685868664</v>
      </c>
    </row>
    <row r="41" spans="1:26" hidden="1" x14ac:dyDescent="0.3">
      <c r="A41" s="5" t="s">
        <v>32</v>
      </c>
      <c r="B41" s="5">
        <v>2014</v>
      </c>
      <c r="C41" s="5" t="s">
        <v>31</v>
      </c>
      <c r="D41" s="21">
        <f t="shared" si="0"/>
        <v>41640</v>
      </c>
      <c r="E41" s="4">
        <f>AVERAGE(All_India_Index_Upto_April23__1___1[[#This Row],[Cereals and products]:[Food and beverages]])</f>
        <v>114.17692307692307</v>
      </c>
      <c r="F41" s="5">
        <f>AVERAGE(All_India_Index_Upto_April23__1___1[[#This Row],[Pan, tobacco and intoxicants]])</f>
        <v>115.7</v>
      </c>
      <c r="G41" s="4">
        <f>AVERAGE(All_India_Index_Upto_April23__1___1[[#This Row],[Clothing]:[Clothing and footwear]])</f>
        <v>113.46666666666665</v>
      </c>
      <c r="H41" s="5">
        <f>AVERAGE(All_India_Index_Upto_April23__1___1[[#This Row],[Housing]:[Fuel and light]])</f>
        <v>111</v>
      </c>
      <c r="I41" s="5">
        <f>AVERAGE(All_India_Index_Upto_April23__1___1[[#This Row],[Household goods and services]:[Health]])</f>
        <v>110.80000000000001</v>
      </c>
      <c r="J41" s="5">
        <f>AVERAGE(All_India_Index_Upto_April23__1___1[[#This Row],[Transport and communication]])</f>
        <v>110.8</v>
      </c>
      <c r="K41" s="5">
        <f>AVERAGE(All_India_Index_Upto_April23__1___1[[#This Row],[Recreation and amusement]])</f>
        <v>109.8</v>
      </c>
      <c r="L41" s="5">
        <f>AVERAGE(All_India_Index_Upto_April23__1___1[[#This Row],[Education]])</f>
        <v>111.5</v>
      </c>
      <c r="M41" s="5">
        <f>AVERAGE(All_India_Index_Upto_April23__1___1[[#This Row],[Personal care and effects]])</f>
        <v>108</v>
      </c>
      <c r="N41" s="5">
        <f>AVERAGE(All_India_Index_Upto_April23__1___1[[#This Row],[Miscellaneous]])</f>
        <v>110.5</v>
      </c>
      <c r="O41" s="5">
        <f>AVERAGE(All_India_Index_Upto_April23__1___1[[#This Row],[General index]])</f>
        <v>112.9</v>
      </c>
      <c r="P41" s="2">
        <f t="shared" si="1"/>
        <v>1005.2435897435896</v>
      </c>
      <c r="R41" s="10">
        <f t="shared" si="2"/>
        <v>11.358134907982503</v>
      </c>
      <c r="S41" s="10">
        <f t="shared" si="3"/>
        <v>11.509648127128266</v>
      </c>
      <c r="T41" s="10">
        <f t="shared" si="4"/>
        <v>11.287479753599715</v>
      </c>
      <c r="U41" s="10">
        <f t="shared" si="5"/>
        <v>11.042099758956244</v>
      </c>
      <c r="V41" s="10">
        <f t="shared" si="6"/>
        <v>11.022204083714882</v>
      </c>
      <c r="W41" s="10">
        <f t="shared" si="7"/>
        <v>11.022204083714881</v>
      </c>
      <c r="X41" s="10">
        <f t="shared" si="8"/>
        <v>10.922725707508068</v>
      </c>
      <c r="Y41" s="10">
        <f t="shared" si="9"/>
        <v>11.091838947059649</v>
      </c>
      <c r="Z41" s="10">
        <f t="shared" si="10"/>
        <v>10.743664630335804</v>
      </c>
    </row>
    <row r="42" spans="1:26" hidden="1" x14ac:dyDescent="0.3">
      <c r="A42" s="6" t="s">
        <v>34</v>
      </c>
      <c r="B42" s="6">
        <v>2014</v>
      </c>
      <c r="C42" s="6" t="s">
        <v>31</v>
      </c>
      <c r="D42" s="21">
        <f t="shared" si="0"/>
        <v>41640</v>
      </c>
      <c r="E42" s="4">
        <f>AVERAGE(All_India_Index_Upto_April23__1___1[[#This Row],[Cereals and products]:[Food and beverages]])</f>
        <v>114.29230769230767</v>
      </c>
      <c r="F42" s="5">
        <f>AVERAGE(All_India_Index_Upto_April23__1___1[[#This Row],[Pan, tobacco and intoxicants]])</f>
        <v>114.5</v>
      </c>
      <c r="G42" s="4">
        <f>AVERAGE(All_India_Index_Upto_April23__1___1[[#This Row],[Clothing]:[Clothing and footwear]])</f>
        <v>114.8</v>
      </c>
      <c r="H42" s="5">
        <f>AVERAGE(All_India_Index_Upto_April23__1___1[[#This Row],[Housing]:[Fuel and light]])</f>
        <v>112.2</v>
      </c>
      <c r="I42" s="5">
        <f>AVERAGE(All_India_Index_Upto_April23__1___1[[#This Row],[Household goods and services]:[Health]])</f>
        <v>111.3</v>
      </c>
      <c r="J42" s="5">
        <f>AVERAGE(All_India_Index_Upto_April23__1___1[[#This Row],[Transport and communication]])</f>
        <v>110.7</v>
      </c>
      <c r="K42" s="5">
        <f>AVERAGE(All_India_Index_Upto_April23__1___1[[#This Row],[Recreation and amusement]])</f>
        <v>109.7</v>
      </c>
      <c r="L42" s="5">
        <f>AVERAGE(All_India_Index_Upto_April23__1___1[[#This Row],[Education]])</f>
        <v>111.6</v>
      </c>
      <c r="M42" s="5">
        <f>AVERAGE(All_India_Index_Upto_April23__1___1[[#This Row],[Personal care and effects]])</f>
        <v>108.2</v>
      </c>
      <c r="N42" s="5">
        <f>AVERAGE(All_India_Index_Upto_April23__1___1[[#This Row],[Miscellaneous]])</f>
        <v>110.6</v>
      </c>
      <c r="O42" s="5">
        <f>AVERAGE(All_India_Index_Upto_April23__1___1[[#This Row],[General index]])</f>
        <v>113.6</v>
      </c>
      <c r="P42" s="2">
        <f>AVERAGE(E42:N42)</f>
        <v>111.78923076923077</v>
      </c>
      <c r="R42" s="10">
        <f t="shared" si="2"/>
        <v>102.23910380799029</v>
      </c>
      <c r="S42" s="10">
        <f t="shared" si="3"/>
        <v>102.42489299918802</v>
      </c>
      <c r="T42" s="10">
        <f t="shared" si="4"/>
        <v>102.69325516425141</v>
      </c>
      <c r="U42" s="10">
        <f t="shared" si="5"/>
        <v>100.36744973370216</v>
      </c>
      <c r="V42" s="10">
        <f t="shared" si="6"/>
        <v>99.562363238512035</v>
      </c>
      <c r="W42" s="10">
        <f t="shared" si="7"/>
        <v>99.025638908385289</v>
      </c>
      <c r="X42" s="10">
        <f t="shared" si="8"/>
        <v>98.131098358174043</v>
      </c>
      <c r="Y42" s="10">
        <f t="shared" si="9"/>
        <v>99.8307254035754</v>
      </c>
      <c r="Z42" s="10">
        <f t="shared" si="10"/>
        <v>96.789287532857159</v>
      </c>
    </row>
    <row r="43" spans="1:26" hidden="1" x14ac:dyDescent="0.3">
      <c r="A43" s="5" t="s">
        <v>30</v>
      </c>
      <c r="B43" s="5">
        <v>2014</v>
      </c>
      <c r="C43" s="5" t="s">
        <v>35</v>
      </c>
      <c r="D43" s="21">
        <f t="shared" si="0"/>
        <v>41671</v>
      </c>
      <c r="E43" s="4">
        <f>AVERAGE(All_India_Index_Upto_April23__1___1[[#This Row],[Cereals and products]:[Food and beverages]])</f>
        <v>114.01538461538462</v>
      </c>
      <c r="F43" s="5">
        <f>AVERAGE(All_India_Index_Upto_April23__1___1[[#This Row],[Pan, tobacco and intoxicants]])</f>
        <v>114.2</v>
      </c>
      <c r="G43" s="4">
        <f>AVERAGE(All_India_Index_Upto_April23__1___1[[#This Row],[Clothing]:[Clothing and footwear]])</f>
        <v>116.10000000000001</v>
      </c>
      <c r="H43" s="5">
        <f>AVERAGE(All_India_Index_Upto_April23__1___1[[#This Row],[Housing]:[Fuel and light]])</f>
        <v>113.2</v>
      </c>
      <c r="I43" s="5">
        <f>AVERAGE(All_India_Index_Upto_April23__1___1[[#This Row],[Household goods and services]:[Health]])</f>
        <v>111.9</v>
      </c>
      <c r="J43" s="5">
        <f>AVERAGE(All_India_Index_Upto_April23__1___1[[#This Row],[Transport and communication]])</f>
        <v>110.8</v>
      </c>
      <c r="K43" s="5">
        <f>AVERAGE(All_India_Index_Upto_April23__1___1[[#This Row],[Recreation and amusement]])</f>
        <v>109.9</v>
      </c>
      <c r="L43" s="5">
        <f>AVERAGE(All_India_Index_Upto_April23__1___1[[#This Row],[Education]])</f>
        <v>112</v>
      </c>
      <c r="M43" s="5">
        <f>AVERAGE(All_India_Index_Upto_April23__1___1[[#This Row],[Personal care and effects]])</f>
        <v>108.7</v>
      </c>
      <c r="N43" s="5">
        <f>AVERAGE(All_India_Index_Upto_April23__1___1[[#This Row],[Miscellaneous]])</f>
        <v>110.9</v>
      </c>
      <c r="O43" s="5">
        <f>AVERAGE(All_India_Index_Upto_April23__1___1[[#This Row],[General index]])</f>
        <v>114</v>
      </c>
      <c r="P43" s="2">
        <f t="shared" si="1"/>
        <v>1010.8153846153846</v>
      </c>
      <c r="R43" s="10">
        <f t="shared" si="2"/>
        <v>11.279545835045585</v>
      </c>
      <c r="S43" s="10">
        <f t="shared" si="3"/>
        <v>11.297809841255347</v>
      </c>
      <c r="T43" s="10">
        <f t="shared" si="4"/>
        <v>11.485776905164149</v>
      </c>
      <c r="U43" s="10">
        <f t="shared" si="5"/>
        <v>11.198879807619136</v>
      </c>
      <c r="V43" s="10">
        <f t="shared" si="6"/>
        <v>11.070270763892061</v>
      </c>
      <c r="W43" s="10">
        <f t="shared" si="7"/>
        <v>10.961447726892228</v>
      </c>
      <c r="X43" s="10">
        <f t="shared" si="8"/>
        <v>10.872410696619637</v>
      </c>
      <c r="Y43" s="10">
        <f t="shared" si="9"/>
        <v>11.080163767255682</v>
      </c>
      <c r="Z43" s="10">
        <f t="shared" si="10"/>
        <v>10.753694656256183</v>
      </c>
    </row>
    <row r="44" spans="1:26" hidden="1" x14ac:dyDescent="0.3">
      <c r="A44" s="6" t="s">
        <v>32</v>
      </c>
      <c r="B44" s="6">
        <v>2014</v>
      </c>
      <c r="C44" s="6" t="s">
        <v>35</v>
      </c>
      <c r="D44" s="21">
        <f t="shared" si="0"/>
        <v>41671</v>
      </c>
      <c r="E44" s="4">
        <f>AVERAGE(All_India_Index_Upto_April23__1___1[[#This Row],[Cereals and products]:[Food and beverages]])</f>
        <v>113.53846153846153</v>
      </c>
      <c r="F44" s="5">
        <f>AVERAGE(All_India_Index_Upto_April23__1___1[[#This Row],[Pan, tobacco and intoxicants]])</f>
        <v>116.2</v>
      </c>
      <c r="G44" s="4">
        <f>AVERAGE(All_India_Index_Upto_April23__1___1[[#This Row],[Clothing]:[Clothing and footwear]])</f>
        <v>113.89999999999999</v>
      </c>
      <c r="H44" s="5">
        <f>AVERAGE(All_India_Index_Upto_April23__1___1[[#This Row],[Housing]:[Fuel and light]])</f>
        <v>111.1</v>
      </c>
      <c r="I44" s="5">
        <f>AVERAGE(All_India_Index_Upto_April23__1___1[[#This Row],[Household goods and services]:[Health]])</f>
        <v>111.5</v>
      </c>
      <c r="J44" s="5">
        <f>AVERAGE(All_India_Index_Upto_April23__1___1[[#This Row],[Transport and communication]])</f>
        <v>111.3</v>
      </c>
      <c r="K44" s="5">
        <f>AVERAGE(All_India_Index_Upto_April23__1___1[[#This Row],[Recreation and amusement]])</f>
        <v>110.3</v>
      </c>
      <c r="L44" s="5">
        <f>AVERAGE(All_India_Index_Upto_April23__1___1[[#This Row],[Education]])</f>
        <v>111.6</v>
      </c>
      <c r="M44" s="5">
        <f>AVERAGE(All_India_Index_Upto_April23__1___1[[#This Row],[Personal care and effects]])</f>
        <v>108.7</v>
      </c>
      <c r="N44" s="5">
        <f>AVERAGE(All_India_Index_Upto_April23__1___1[[#This Row],[Miscellaneous]])</f>
        <v>111</v>
      </c>
      <c r="O44" s="5">
        <f>AVERAGE(All_India_Index_Upto_April23__1___1[[#This Row],[General index]])</f>
        <v>113.1</v>
      </c>
      <c r="P44" s="2">
        <f t="shared" si="1"/>
        <v>1008.1384615384615</v>
      </c>
      <c r="R44" s="10">
        <f t="shared" si="2"/>
        <v>11.262189259717072</v>
      </c>
      <c r="S44" s="10">
        <f t="shared" si="3"/>
        <v>11.526194509301227</v>
      </c>
      <c r="T44" s="10">
        <f t="shared" si="4"/>
        <v>11.298051244487175</v>
      </c>
      <c r="U44" s="10">
        <f t="shared" si="5"/>
        <v>11.020311617757024</v>
      </c>
      <c r="V44" s="10">
        <f t="shared" si="6"/>
        <v>11.059988707289904</v>
      </c>
      <c r="W44" s="10">
        <f t="shared" si="7"/>
        <v>11.040150162523464</v>
      </c>
      <c r="X44" s="10">
        <f t="shared" si="8"/>
        <v>10.940957438691266</v>
      </c>
      <c r="Y44" s="10">
        <f t="shared" si="9"/>
        <v>11.069907979673124</v>
      </c>
      <c r="Z44" s="10">
        <f t="shared" si="10"/>
        <v>10.782249080559755</v>
      </c>
    </row>
    <row r="45" spans="1:26" hidden="1" x14ac:dyDescent="0.3">
      <c r="A45" s="5" t="s">
        <v>34</v>
      </c>
      <c r="B45" s="5">
        <v>2014</v>
      </c>
      <c r="C45" s="5" t="s">
        <v>35</v>
      </c>
      <c r="D45" s="21">
        <f t="shared" si="0"/>
        <v>41671</v>
      </c>
      <c r="E45" s="4">
        <f>AVERAGE(All_India_Index_Upto_April23__1___1[[#This Row],[Cereals and products]:[Food and beverages]])</f>
        <v>113.85384615384615</v>
      </c>
      <c r="F45" s="5">
        <f>AVERAGE(All_India_Index_Upto_April23__1___1[[#This Row],[Pan, tobacco and intoxicants]])</f>
        <v>114.7</v>
      </c>
      <c r="G45" s="4">
        <f>AVERAGE(All_India_Index_Upto_April23__1___1[[#This Row],[Clothing]:[Clothing and footwear]])</f>
        <v>115.2</v>
      </c>
      <c r="H45" s="5">
        <f>AVERAGE(All_India_Index_Upto_April23__1___1[[#This Row],[Housing]:[Fuel and light]])</f>
        <v>112.4</v>
      </c>
      <c r="I45" s="5">
        <f>AVERAGE(All_India_Index_Upto_April23__1___1[[#This Row],[Household goods and services]:[Health]])</f>
        <v>111.75</v>
      </c>
      <c r="J45" s="5">
        <f>AVERAGE(All_India_Index_Upto_April23__1___1[[#This Row],[Transport and communication]])</f>
        <v>111.1</v>
      </c>
      <c r="K45" s="5">
        <f>AVERAGE(All_India_Index_Upto_April23__1___1[[#This Row],[Recreation and amusement]])</f>
        <v>110.1</v>
      </c>
      <c r="L45" s="5">
        <f>AVERAGE(All_India_Index_Upto_April23__1___1[[#This Row],[Education]])</f>
        <v>111.8</v>
      </c>
      <c r="M45" s="5">
        <f>AVERAGE(All_India_Index_Upto_April23__1___1[[#This Row],[Personal care and effects]])</f>
        <v>108.7</v>
      </c>
      <c r="N45" s="5">
        <f>AVERAGE(All_India_Index_Upto_April23__1___1[[#This Row],[Miscellaneous]])</f>
        <v>110.9</v>
      </c>
      <c r="O45" s="5">
        <f>AVERAGE(All_India_Index_Upto_April23__1___1[[#This Row],[General index]])</f>
        <v>113.6</v>
      </c>
      <c r="P45" s="2">
        <f>AVERAGE(E45:N45)</f>
        <v>112.05038461538463</v>
      </c>
      <c r="R45" s="10">
        <f t="shared" si="2"/>
        <v>101.60950945831372</v>
      </c>
      <c r="S45" s="10">
        <f t="shared" si="3"/>
        <v>102.36466424788297</v>
      </c>
      <c r="T45" s="10">
        <f t="shared" si="4"/>
        <v>102.810892078083</v>
      </c>
      <c r="U45" s="10">
        <f t="shared" si="5"/>
        <v>100.31201622896293</v>
      </c>
      <c r="V45" s="10">
        <f t="shared" si="6"/>
        <v>99.731920049702907</v>
      </c>
      <c r="W45" s="10">
        <f t="shared" si="7"/>
        <v>99.151823870442882</v>
      </c>
      <c r="X45" s="10">
        <f t="shared" si="8"/>
        <v>98.259368210042851</v>
      </c>
      <c r="Y45" s="10">
        <f t="shared" si="9"/>
        <v>99.776542832722896</v>
      </c>
      <c r="Z45" s="10">
        <f t="shared" si="10"/>
        <v>97.009930285482824</v>
      </c>
    </row>
    <row r="46" spans="1:26" hidden="1" x14ac:dyDescent="0.3">
      <c r="A46" s="6" t="s">
        <v>30</v>
      </c>
      <c r="B46" s="6">
        <v>2014</v>
      </c>
      <c r="C46" s="6" t="s">
        <v>37</v>
      </c>
      <c r="D46" s="21">
        <f t="shared" si="0"/>
        <v>41699</v>
      </c>
      <c r="E46" s="4">
        <f>AVERAGE(All_India_Index_Upto_April23__1___1[[#This Row],[Cereals and products]:[Food and beverages]])</f>
        <v>114.72307692307693</v>
      </c>
      <c r="F46" s="5">
        <f>AVERAGE(All_India_Index_Upto_April23__1___1[[#This Row],[Pan, tobacco and intoxicants]])</f>
        <v>114.6</v>
      </c>
      <c r="G46" s="4">
        <f>AVERAGE(All_India_Index_Upto_April23__1___1[[#This Row],[Clothing]:[Clothing and footwear]])</f>
        <v>116.53333333333335</v>
      </c>
      <c r="H46" s="5">
        <f>AVERAGE(All_India_Index_Upto_April23__1___1[[#This Row],[Housing]:[Fuel and light]])</f>
        <v>113.4</v>
      </c>
      <c r="I46" s="5">
        <f>AVERAGE(All_India_Index_Upto_April23__1___1[[#This Row],[Household goods and services]:[Health]])</f>
        <v>112.4</v>
      </c>
      <c r="J46" s="5">
        <f>AVERAGE(All_India_Index_Upto_April23__1___1[[#This Row],[Transport and communication]])</f>
        <v>111.2</v>
      </c>
      <c r="K46" s="5">
        <f>AVERAGE(All_India_Index_Upto_April23__1___1[[#This Row],[Recreation and amusement]])</f>
        <v>110.2</v>
      </c>
      <c r="L46" s="5">
        <f>AVERAGE(All_India_Index_Upto_April23__1___1[[#This Row],[Education]])</f>
        <v>112.4</v>
      </c>
      <c r="M46" s="5">
        <f>AVERAGE(All_India_Index_Upto_April23__1___1[[#This Row],[Personal care and effects]])</f>
        <v>108.9</v>
      </c>
      <c r="N46" s="5">
        <f>AVERAGE(All_India_Index_Upto_April23__1___1[[#This Row],[Miscellaneous]])</f>
        <v>111.3</v>
      </c>
      <c r="O46" s="5">
        <f>AVERAGE(All_India_Index_Upto_April23__1___1[[#This Row],[General index]])</f>
        <v>114.6</v>
      </c>
      <c r="P46" s="2">
        <f t="shared" si="1"/>
        <v>1014.3564102564103</v>
      </c>
      <c r="R46" s="10">
        <f t="shared" si="2"/>
        <v>11.30993758831544</v>
      </c>
      <c r="S46" s="10">
        <f t="shared" si="3"/>
        <v>11.297804089494665</v>
      </c>
      <c r="T46" s="10">
        <f t="shared" si="4"/>
        <v>11.488401133471015</v>
      </c>
      <c r="U46" s="10">
        <f t="shared" si="5"/>
        <v>11.179502475992104</v>
      </c>
      <c r="V46" s="10">
        <f t="shared" si="6"/>
        <v>11.080917798073301</v>
      </c>
      <c r="W46" s="10">
        <f t="shared" si="7"/>
        <v>10.96261618457074</v>
      </c>
      <c r="X46" s="10">
        <f t="shared" si="8"/>
        <v>10.864031506651937</v>
      </c>
      <c r="Y46" s="10">
        <f t="shared" si="9"/>
        <v>11.080917798073301</v>
      </c>
      <c r="Z46" s="10">
        <f t="shared" si="10"/>
        <v>10.735871425357496</v>
      </c>
    </row>
    <row r="47" spans="1:26" hidden="1" x14ac:dyDescent="0.3">
      <c r="A47" s="5" t="s">
        <v>32</v>
      </c>
      <c r="B47" s="5">
        <v>2014</v>
      </c>
      <c r="C47" s="5" t="s">
        <v>37</v>
      </c>
      <c r="D47" s="21">
        <f t="shared" si="0"/>
        <v>41699</v>
      </c>
      <c r="E47" s="4">
        <f>AVERAGE(All_India_Index_Upto_April23__1___1[[#This Row],[Cereals and products]:[Food and beverages]])</f>
        <v>114.07692307692308</v>
      </c>
      <c r="F47" s="5">
        <f>AVERAGE(All_India_Index_Upto_April23__1___1[[#This Row],[Pan, tobacco and intoxicants]])</f>
        <v>116.7</v>
      </c>
      <c r="G47" s="4">
        <f>AVERAGE(All_India_Index_Upto_April23__1___1[[#This Row],[Clothing]:[Clothing and footwear]])</f>
        <v>114.36666666666666</v>
      </c>
      <c r="H47" s="5">
        <f>AVERAGE(All_India_Index_Upto_April23__1___1[[#This Row],[Housing]:[Fuel and light]])</f>
        <v>110.9</v>
      </c>
      <c r="I47" s="5">
        <f>AVERAGE(All_India_Index_Upto_April23__1___1[[#This Row],[Household goods and services]:[Health]])</f>
        <v>111.9</v>
      </c>
      <c r="J47" s="5">
        <f>AVERAGE(All_India_Index_Upto_April23__1___1[[#This Row],[Transport and communication]])</f>
        <v>111.6</v>
      </c>
      <c r="K47" s="5">
        <f>AVERAGE(All_India_Index_Upto_April23__1___1[[#This Row],[Recreation and amusement]])</f>
        <v>110.9</v>
      </c>
      <c r="L47" s="5">
        <f>AVERAGE(All_India_Index_Upto_April23__1___1[[#This Row],[Education]])</f>
        <v>111.8</v>
      </c>
      <c r="M47" s="5">
        <f>AVERAGE(All_India_Index_Upto_April23__1___1[[#This Row],[Personal care and effects]])</f>
        <v>109.2</v>
      </c>
      <c r="N47" s="5">
        <f>AVERAGE(All_India_Index_Upto_April23__1___1[[#This Row],[Miscellaneous]])</f>
        <v>111.4</v>
      </c>
      <c r="O47" s="5">
        <f>AVERAGE(All_India_Index_Upto_April23__1___1[[#This Row],[General index]])</f>
        <v>113.7</v>
      </c>
      <c r="P47" s="2">
        <f t="shared" si="1"/>
        <v>1011.4435897435898</v>
      </c>
      <c r="R47" s="10">
        <f t="shared" si="2"/>
        <v>11.278624357671061</v>
      </c>
      <c r="S47" s="10">
        <f t="shared" si="3"/>
        <v>11.537964270413195</v>
      </c>
      <c r="T47" s="10">
        <f t="shared" si="4"/>
        <v>11.30727089739722</v>
      </c>
      <c r="U47" s="10">
        <f t="shared" si="5"/>
        <v>10.964526457487775</v>
      </c>
      <c r="V47" s="10">
        <f t="shared" si="6"/>
        <v>11.063395045923192</v>
      </c>
      <c r="W47" s="10">
        <f t="shared" si="7"/>
        <v>11.033734469392567</v>
      </c>
      <c r="X47" s="10">
        <f t="shared" si="8"/>
        <v>10.964526457487775</v>
      </c>
      <c r="Y47" s="10">
        <f t="shared" si="9"/>
        <v>11.05350818707965</v>
      </c>
      <c r="Z47" s="10">
        <f t="shared" si="10"/>
        <v>10.796449857147564</v>
      </c>
    </row>
    <row r="48" spans="1:26" hidden="1" x14ac:dyDescent="0.3">
      <c r="A48" s="6" t="s">
        <v>34</v>
      </c>
      <c r="B48" s="6">
        <v>2014</v>
      </c>
      <c r="C48" s="6" t="s">
        <v>59</v>
      </c>
      <c r="D48" s="21" t="e">
        <f t="shared" si="0"/>
        <v>#VALUE!</v>
      </c>
      <c r="E48" s="4">
        <f>AVERAGE(All_India_Index_Upto_April23__1___1[[#This Row],[Cereals and products]:[Food and beverages]])</f>
        <v>114.48461538461537</v>
      </c>
      <c r="F48" s="5">
        <f>AVERAGE(All_India_Index_Upto_April23__1___1[[#This Row],[Pan, tobacco and intoxicants]])</f>
        <v>115.2</v>
      </c>
      <c r="G48" s="4">
        <f>AVERAGE(All_India_Index_Upto_April23__1___1[[#This Row],[Clothing]:[Clothing and footwear]])</f>
        <v>115.63333333333333</v>
      </c>
      <c r="H48" s="5">
        <f>AVERAGE(All_India_Index_Upto_April23__1___1[[#This Row],[Housing]:[Fuel and light]])</f>
        <v>112.5</v>
      </c>
      <c r="I48" s="5">
        <f>AVERAGE(All_India_Index_Upto_April23__1___1[[#This Row],[Household goods and services]:[Health]])</f>
        <v>112.2</v>
      </c>
      <c r="J48" s="5">
        <f>AVERAGE(All_India_Index_Upto_April23__1___1[[#This Row],[Transport and communication]])</f>
        <v>111.4</v>
      </c>
      <c r="K48" s="5">
        <f>AVERAGE(All_India_Index_Upto_April23__1___1[[#This Row],[Recreation and amusement]])</f>
        <v>110.6</v>
      </c>
      <c r="L48" s="5">
        <f>AVERAGE(All_India_Index_Upto_April23__1___1[[#This Row],[Education]])</f>
        <v>112</v>
      </c>
      <c r="M48" s="5">
        <f>AVERAGE(All_India_Index_Upto_April23__1___1[[#This Row],[Personal care and effects]])</f>
        <v>109</v>
      </c>
      <c r="N48" s="5">
        <f>AVERAGE(All_India_Index_Upto_April23__1___1[[#This Row],[Miscellaneous]])</f>
        <v>111.3</v>
      </c>
      <c r="O48" s="5">
        <f>AVERAGE(All_India_Index_Upto_April23__1___1[[#This Row],[General index]])</f>
        <v>114.2</v>
      </c>
      <c r="P48" s="2">
        <f>AVERAGE(E48:N48)</f>
        <v>112.43179487179486</v>
      </c>
      <c r="R48" s="10">
        <f t="shared" si="2"/>
        <v>101.82583629049178</v>
      </c>
      <c r="S48" s="10">
        <f t="shared" si="3"/>
        <v>102.46211948440538</v>
      </c>
      <c r="T48" s="10">
        <f t="shared" si="4"/>
        <v>102.84753833663258</v>
      </c>
      <c r="U48" s="10">
        <f t="shared" si="5"/>
        <v>100.06066355898962</v>
      </c>
      <c r="V48" s="10">
        <f t="shared" si="6"/>
        <v>99.793835122832306</v>
      </c>
      <c r="W48" s="10">
        <f t="shared" si="7"/>
        <v>99.082292626412837</v>
      </c>
      <c r="X48" s="10">
        <f t="shared" si="8"/>
        <v>98.37075012999334</v>
      </c>
      <c r="Y48" s="10">
        <f t="shared" si="9"/>
        <v>99.615949498727446</v>
      </c>
      <c r="Z48" s="10">
        <f t="shared" si="10"/>
        <v>96.947665137154388</v>
      </c>
    </row>
    <row r="49" spans="1:26" hidden="1" x14ac:dyDescent="0.3">
      <c r="A49" s="5" t="s">
        <v>30</v>
      </c>
      <c r="B49" s="5">
        <v>2014</v>
      </c>
      <c r="C49" s="5" t="s">
        <v>38</v>
      </c>
      <c r="D49" s="21">
        <f t="shared" si="0"/>
        <v>41730</v>
      </c>
      <c r="E49" s="4">
        <f>AVERAGE(All_India_Index_Upto_April23__1___1[[#This Row],[Cereals and products]:[Food and beverages]])</f>
        <v>115.70000000000002</v>
      </c>
      <c r="F49" s="5">
        <f>AVERAGE(All_India_Index_Upto_April23__1___1[[#This Row],[Pan, tobacco and intoxicants]])</f>
        <v>115.4</v>
      </c>
      <c r="G49" s="4">
        <f>AVERAGE(All_India_Index_Upto_April23__1___1[[#This Row],[Clothing]:[Clothing and footwear]])</f>
        <v>117.33333333333333</v>
      </c>
      <c r="H49" s="5">
        <f>AVERAGE(All_India_Index_Upto_April23__1___1[[#This Row],[Housing]:[Fuel and light]])</f>
        <v>113.4</v>
      </c>
      <c r="I49" s="5">
        <f>AVERAGE(All_India_Index_Upto_April23__1___1[[#This Row],[Household goods and services]:[Health]])</f>
        <v>112.75</v>
      </c>
      <c r="J49" s="5">
        <f>AVERAGE(All_India_Index_Upto_April23__1___1[[#This Row],[Transport and communication]])</f>
        <v>111.2</v>
      </c>
      <c r="K49" s="5">
        <f>AVERAGE(All_India_Index_Upto_April23__1___1[[#This Row],[Recreation and amusement]])</f>
        <v>110.5</v>
      </c>
      <c r="L49" s="5">
        <f>AVERAGE(All_India_Index_Upto_April23__1___1[[#This Row],[Education]])</f>
        <v>113</v>
      </c>
      <c r="M49" s="5">
        <f>AVERAGE(All_India_Index_Upto_April23__1___1[[#This Row],[Personal care and effects]])</f>
        <v>108.9</v>
      </c>
      <c r="N49" s="5">
        <f>AVERAGE(All_India_Index_Upto_April23__1___1[[#This Row],[Miscellaneous]])</f>
        <v>111.5</v>
      </c>
      <c r="O49" s="5">
        <f>AVERAGE(All_India_Index_Upto_April23__1___1[[#This Row],[General index]])</f>
        <v>115.4</v>
      </c>
      <c r="P49" s="2">
        <f t="shared" si="1"/>
        <v>1018.1833333333334</v>
      </c>
      <c r="R49" s="10">
        <f t="shared" si="2"/>
        <v>11.363375947357222</v>
      </c>
      <c r="S49" s="10">
        <f t="shared" si="3"/>
        <v>11.333911705488534</v>
      </c>
      <c r="T49" s="10">
        <f t="shared" si="4"/>
        <v>11.523792375308965</v>
      </c>
      <c r="U49" s="10">
        <f t="shared" si="5"/>
        <v>11.13748342636395</v>
      </c>
      <c r="V49" s="10">
        <f t="shared" si="6"/>
        <v>11.073644235648459</v>
      </c>
      <c r="W49" s="10">
        <f t="shared" si="7"/>
        <v>10.921412319326905</v>
      </c>
      <c r="X49" s="10">
        <f t="shared" si="8"/>
        <v>10.852662421633301</v>
      </c>
      <c r="Y49" s="10">
        <f t="shared" si="9"/>
        <v>11.098197770539031</v>
      </c>
      <c r="Z49" s="10">
        <f t="shared" si="10"/>
        <v>10.695519798333633</v>
      </c>
    </row>
    <row r="50" spans="1:26" hidden="1" x14ac:dyDescent="0.3">
      <c r="A50" s="6" t="s">
        <v>32</v>
      </c>
      <c r="B50" s="6">
        <v>2014</v>
      </c>
      <c r="C50" s="6" t="s">
        <v>38</v>
      </c>
      <c r="D50" s="21">
        <f t="shared" si="0"/>
        <v>41730</v>
      </c>
      <c r="E50" s="4">
        <f>AVERAGE(All_India_Index_Upto_April23__1___1[[#This Row],[Cereals and products]:[Food and beverages]])</f>
        <v>115.69230769230771</v>
      </c>
      <c r="F50" s="5">
        <f>AVERAGE(All_India_Index_Upto_April23__1___1[[#This Row],[Pan, tobacco and intoxicants]])</f>
        <v>117.6</v>
      </c>
      <c r="G50" s="4">
        <f>AVERAGE(All_India_Index_Upto_April23__1___1[[#This Row],[Clothing]:[Clothing and footwear]])</f>
        <v>114.83333333333333</v>
      </c>
      <c r="H50" s="5">
        <f>AVERAGE(All_India_Index_Upto_April23__1___1[[#This Row],[Housing]:[Fuel and light]])</f>
        <v>110.9</v>
      </c>
      <c r="I50" s="5">
        <f>AVERAGE(All_India_Index_Upto_April23__1___1[[#This Row],[Household goods and services]:[Health]])</f>
        <v>112.2</v>
      </c>
      <c r="J50" s="5">
        <f>AVERAGE(All_India_Index_Upto_April23__1___1[[#This Row],[Transport and communication]])</f>
        <v>111.2</v>
      </c>
      <c r="K50" s="5">
        <f>AVERAGE(All_India_Index_Upto_April23__1___1[[#This Row],[Recreation and amusement]])</f>
        <v>111.2</v>
      </c>
      <c r="L50" s="5">
        <f>AVERAGE(All_India_Index_Upto_April23__1___1[[#This Row],[Education]])</f>
        <v>112.5</v>
      </c>
      <c r="M50" s="5">
        <f>AVERAGE(All_India_Index_Upto_April23__1___1[[#This Row],[Personal care and effects]])</f>
        <v>109.1</v>
      </c>
      <c r="N50" s="5">
        <f>AVERAGE(All_India_Index_Upto_April23__1___1[[#This Row],[Miscellaneous]])</f>
        <v>111.4</v>
      </c>
      <c r="O50" s="5">
        <f>AVERAGE(All_India_Index_Upto_April23__1___1[[#This Row],[General index]])</f>
        <v>114.7</v>
      </c>
      <c r="P50" s="2">
        <f t="shared" si="1"/>
        <v>1015.2256410256412</v>
      </c>
      <c r="R50" s="10">
        <f t="shared" si="2"/>
        <v>11.395723572882623</v>
      </c>
      <c r="S50" s="10">
        <f t="shared" si="3"/>
        <v>11.583631780733345</v>
      </c>
      <c r="T50" s="10">
        <f t="shared" si="4"/>
        <v>11.311114366390695</v>
      </c>
      <c r="U50" s="10">
        <f t="shared" si="5"/>
        <v>10.923679970096327</v>
      </c>
      <c r="V50" s="10">
        <f t="shared" si="6"/>
        <v>11.051730321413958</v>
      </c>
      <c r="W50" s="10">
        <f t="shared" si="7"/>
        <v>10.953230051169626</v>
      </c>
      <c r="X50" s="10">
        <f t="shared" si="8"/>
        <v>10.953230051169626</v>
      </c>
      <c r="Y50" s="10">
        <f t="shared" si="9"/>
        <v>11.081280402487256</v>
      </c>
      <c r="Z50" s="10">
        <f t="shared" si="10"/>
        <v>10.746379483656531</v>
      </c>
    </row>
    <row r="51" spans="1:26" hidden="1" x14ac:dyDescent="0.3">
      <c r="A51" s="5" t="s">
        <v>34</v>
      </c>
      <c r="B51" s="5">
        <v>2014</v>
      </c>
      <c r="C51" s="5" t="s">
        <v>38</v>
      </c>
      <c r="D51" s="21">
        <f t="shared" si="0"/>
        <v>41730</v>
      </c>
      <c r="E51" s="4">
        <f>AVERAGE(All_India_Index_Upto_April23__1___1[[#This Row],[Cereals and products]:[Food and beverages]])</f>
        <v>115.69999999999999</v>
      </c>
      <c r="F51" s="5">
        <f>AVERAGE(All_India_Index_Upto_April23__1___1[[#This Row],[Pan, tobacco and intoxicants]])</f>
        <v>116</v>
      </c>
      <c r="G51" s="4">
        <f>AVERAGE(All_India_Index_Upto_April23__1___1[[#This Row],[Clothing]:[Clothing and footwear]])</f>
        <v>116.33333333333333</v>
      </c>
      <c r="H51" s="5">
        <f>AVERAGE(All_India_Index_Upto_April23__1___1[[#This Row],[Housing]:[Fuel and light]])</f>
        <v>112.5</v>
      </c>
      <c r="I51" s="5">
        <f>AVERAGE(All_India_Index_Upto_April23__1___1[[#This Row],[Household goods and services]:[Health]])</f>
        <v>112.55</v>
      </c>
      <c r="J51" s="5">
        <f>AVERAGE(All_India_Index_Upto_April23__1___1[[#This Row],[Transport and communication]])</f>
        <v>111.2</v>
      </c>
      <c r="K51" s="5">
        <f>AVERAGE(All_India_Index_Upto_April23__1___1[[#This Row],[Recreation and amusement]])</f>
        <v>110.9</v>
      </c>
      <c r="L51" s="5">
        <f>AVERAGE(All_India_Index_Upto_April23__1___1[[#This Row],[Education]])</f>
        <v>112.7</v>
      </c>
      <c r="M51" s="5">
        <f>AVERAGE(All_India_Index_Upto_April23__1___1[[#This Row],[Personal care and effects]])</f>
        <v>109</v>
      </c>
      <c r="N51" s="5">
        <f>AVERAGE(All_India_Index_Upto_April23__1___1[[#This Row],[Miscellaneous]])</f>
        <v>111.5</v>
      </c>
      <c r="O51" s="5">
        <f>AVERAGE(All_India_Index_Upto_April23__1___1[[#This Row],[General index]])</f>
        <v>115.1</v>
      </c>
      <c r="P51" s="2">
        <f>AVERAGE(E51:N51)</f>
        <v>112.83833333333332</v>
      </c>
      <c r="R51" s="10">
        <f t="shared" si="2"/>
        <v>102.5360766878868</v>
      </c>
      <c r="S51" s="10">
        <f t="shared" si="3"/>
        <v>102.80194378387959</v>
      </c>
      <c r="T51" s="10">
        <f t="shared" si="4"/>
        <v>103.09735166831604</v>
      </c>
      <c r="U51" s="10">
        <f t="shared" si="5"/>
        <v>99.700160997297033</v>
      </c>
      <c r="V51" s="10">
        <f t="shared" si="6"/>
        <v>99.744472179962486</v>
      </c>
      <c r="W51" s="10">
        <f t="shared" si="7"/>
        <v>98.548070247994929</v>
      </c>
      <c r="X51" s="10">
        <f t="shared" si="8"/>
        <v>98.28220315200214</v>
      </c>
      <c r="Y51" s="10">
        <f t="shared" si="9"/>
        <v>99.877405727958887</v>
      </c>
      <c r="Z51" s="10">
        <f t="shared" si="10"/>
        <v>96.598378210714458</v>
      </c>
    </row>
    <row r="52" spans="1:26" hidden="1" x14ac:dyDescent="0.3">
      <c r="A52" s="6" t="s">
        <v>30</v>
      </c>
      <c r="B52" s="6">
        <v>2014</v>
      </c>
      <c r="C52" s="6" t="s">
        <v>40</v>
      </c>
      <c r="D52" s="21">
        <f t="shared" si="0"/>
        <v>41760</v>
      </c>
      <c r="E52" s="4">
        <f>AVERAGE(All_India_Index_Upto_April23__1___1[[#This Row],[Cereals and products]:[Food and beverages]])</f>
        <v>116.45384615384614</v>
      </c>
      <c r="F52" s="5">
        <f>AVERAGE(All_India_Index_Upto_April23__1___1[[#This Row],[Pan, tobacco and intoxicants]])</f>
        <v>116.3</v>
      </c>
      <c r="G52" s="4">
        <f>AVERAGE(All_India_Index_Upto_April23__1___1[[#This Row],[Clothing]:[Clothing and footwear]])</f>
        <v>118</v>
      </c>
      <c r="H52" s="5">
        <f>AVERAGE(All_India_Index_Upto_April23__1___1[[#This Row],[Housing]:[Fuel and light]])</f>
        <v>113.4</v>
      </c>
      <c r="I52" s="5">
        <f>AVERAGE(All_India_Index_Upto_April23__1___1[[#This Row],[Household goods and services]:[Health]])</f>
        <v>113.1</v>
      </c>
      <c r="J52" s="5">
        <f>AVERAGE(All_India_Index_Upto_April23__1___1[[#This Row],[Transport and communication]])</f>
        <v>111.4</v>
      </c>
      <c r="K52" s="5">
        <f>AVERAGE(All_India_Index_Upto_April23__1___1[[#This Row],[Recreation and amusement]])</f>
        <v>110.9</v>
      </c>
      <c r="L52" s="5">
        <f>AVERAGE(All_India_Index_Upto_April23__1___1[[#This Row],[Education]])</f>
        <v>113.1</v>
      </c>
      <c r="M52" s="5">
        <f>AVERAGE(All_India_Index_Upto_April23__1___1[[#This Row],[Personal care and effects]])</f>
        <v>108.9</v>
      </c>
      <c r="N52" s="5">
        <f>AVERAGE(All_India_Index_Upto_April23__1___1[[#This Row],[Miscellaneous]])</f>
        <v>111.8</v>
      </c>
      <c r="O52" s="5">
        <f>AVERAGE(All_India_Index_Upto_April23__1___1[[#This Row],[General index]])</f>
        <v>116</v>
      </c>
      <c r="P52" s="2">
        <f t="shared" si="1"/>
        <v>1021.5538461538462</v>
      </c>
      <c r="R52" s="10">
        <f t="shared" si="2"/>
        <v>11.399677715697051</v>
      </c>
      <c r="S52" s="10">
        <f t="shared" si="3"/>
        <v>11.384617701540639</v>
      </c>
      <c r="T52" s="10">
        <f t="shared" si="4"/>
        <v>11.551030857969007</v>
      </c>
      <c r="U52" s="10">
        <f t="shared" si="5"/>
        <v>11.100736434692248</v>
      </c>
      <c r="V52" s="10">
        <f t="shared" si="6"/>
        <v>11.071369407087243</v>
      </c>
      <c r="W52" s="10">
        <f t="shared" si="7"/>
        <v>10.904956250658875</v>
      </c>
      <c r="X52" s="10">
        <f t="shared" si="8"/>
        <v>10.856011204650533</v>
      </c>
      <c r="Y52" s="10">
        <f t="shared" si="9"/>
        <v>11.071369407087243</v>
      </c>
      <c r="Z52" s="10">
        <f t="shared" si="10"/>
        <v>10.660231020617159</v>
      </c>
    </row>
    <row r="53" spans="1:26" hidden="1" x14ac:dyDescent="0.3">
      <c r="A53" s="5" t="s">
        <v>32</v>
      </c>
      <c r="B53" s="5">
        <v>2014</v>
      </c>
      <c r="C53" s="5" t="s">
        <v>40</v>
      </c>
      <c r="D53" s="21">
        <f t="shared" si="0"/>
        <v>41760</v>
      </c>
      <c r="E53" s="4">
        <f>AVERAGE(All_India_Index_Upto_April23__1___1[[#This Row],[Cereals and products]:[Food and beverages]])</f>
        <v>117.33076923076925</v>
      </c>
      <c r="F53" s="5">
        <f>AVERAGE(All_India_Index_Upto_April23__1___1[[#This Row],[Pan, tobacco and intoxicants]])</f>
        <v>118.3</v>
      </c>
      <c r="G53" s="4">
        <f>AVERAGE(All_India_Index_Upto_April23__1___1[[#This Row],[Clothing]:[Clothing and footwear]])</f>
        <v>115.3</v>
      </c>
      <c r="H53" s="5">
        <f>AVERAGE(All_India_Index_Upto_April23__1___1[[#This Row],[Housing]:[Fuel and light]])</f>
        <v>111.1</v>
      </c>
      <c r="I53" s="5">
        <f>AVERAGE(All_India_Index_Upto_April23__1___1[[#This Row],[Household goods and services]:[Health]])</f>
        <v>112.65</v>
      </c>
      <c r="J53" s="5">
        <f>AVERAGE(All_India_Index_Upto_April23__1___1[[#This Row],[Transport and communication]])</f>
        <v>111.3</v>
      </c>
      <c r="K53" s="5">
        <f>AVERAGE(All_India_Index_Upto_April23__1___1[[#This Row],[Recreation and amusement]])</f>
        <v>111.5</v>
      </c>
      <c r="L53" s="5">
        <f>AVERAGE(All_India_Index_Upto_April23__1___1[[#This Row],[Education]])</f>
        <v>112.9</v>
      </c>
      <c r="M53" s="5">
        <f>AVERAGE(All_India_Index_Upto_April23__1___1[[#This Row],[Personal care and effects]])</f>
        <v>109.3</v>
      </c>
      <c r="N53" s="5">
        <f>AVERAGE(All_India_Index_Upto_April23__1___1[[#This Row],[Miscellaneous]])</f>
        <v>111.7</v>
      </c>
      <c r="O53" s="5">
        <f>AVERAGE(All_India_Index_Upto_April23__1___1[[#This Row],[General index]])</f>
        <v>115.6</v>
      </c>
      <c r="P53" s="2">
        <f t="shared" si="1"/>
        <v>1019.6807692307691</v>
      </c>
      <c r="R53" s="10">
        <f t="shared" si="2"/>
        <v>11.506617832881334</v>
      </c>
      <c r="S53" s="10">
        <f t="shared" si="3"/>
        <v>11.601670205984529</v>
      </c>
      <c r="T53" s="10">
        <f t="shared" si="4"/>
        <v>11.307460479712732</v>
      </c>
      <c r="U53" s="10">
        <f t="shared" si="5"/>
        <v>10.895566862932215</v>
      </c>
      <c r="V53" s="10">
        <f t="shared" si="6"/>
        <v>11.047575221505978</v>
      </c>
      <c r="W53" s="10">
        <f t="shared" si="7"/>
        <v>10.91518084468367</v>
      </c>
      <c r="X53" s="10">
        <f t="shared" si="8"/>
        <v>10.934794826435121</v>
      </c>
      <c r="Y53" s="10">
        <f t="shared" si="9"/>
        <v>11.072092698695295</v>
      </c>
      <c r="Z53" s="10">
        <f t="shared" si="10"/>
        <v>10.719041027169137</v>
      </c>
    </row>
    <row r="54" spans="1:26" hidden="1" x14ac:dyDescent="0.3">
      <c r="A54" s="6" t="s">
        <v>34</v>
      </c>
      <c r="B54" s="6">
        <v>2014</v>
      </c>
      <c r="C54" s="6" t="s">
        <v>40</v>
      </c>
      <c r="D54" s="21">
        <f t="shared" si="0"/>
        <v>41760</v>
      </c>
      <c r="E54" s="4">
        <f>AVERAGE(All_India_Index_Upto_April23__1___1[[#This Row],[Cereals and products]:[Food and beverages]])</f>
        <v>116.80769230769235</v>
      </c>
      <c r="F54" s="5">
        <f>AVERAGE(All_India_Index_Upto_April23__1___1[[#This Row],[Pan, tobacco and intoxicants]])</f>
        <v>116.8</v>
      </c>
      <c r="G54" s="4">
        <f>AVERAGE(All_India_Index_Upto_April23__1___1[[#This Row],[Clothing]:[Clothing and footwear]])</f>
        <v>116.93333333333332</v>
      </c>
      <c r="H54" s="5">
        <f>AVERAGE(All_India_Index_Upto_April23__1___1[[#This Row],[Housing]:[Fuel and light]])</f>
        <v>112.5</v>
      </c>
      <c r="I54" s="5">
        <f>AVERAGE(All_India_Index_Upto_April23__1___1[[#This Row],[Household goods and services]:[Health]])</f>
        <v>112.94999999999999</v>
      </c>
      <c r="J54" s="5">
        <f>AVERAGE(All_India_Index_Upto_April23__1___1[[#This Row],[Transport and communication]])</f>
        <v>111.3</v>
      </c>
      <c r="K54" s="5">
        <f>AVERAGE(All_India_Index_Upto_April23__1___1[[#This Row],[Recreation and amusement]])</f>
        <v>111.2</v>
      </c>
      <c r="L54" s="5">
        <f>AVERAGE(All_India_Index_Upto_April23__1___1[[#This Row],[Education]])</f>
        <v>113</v>
      </c>
      <c r="M54" s="5">
        <f>AVERAGE(All_India_Index_Upto_April23__1___1[[#This Row],[Personal care and effects]])</f>
        <v>109.1</v>
      </c>
      <c r="N54" s="5">
        <f>AVERAGE(All_India_Index_Upto_April23__1___1[[#This Row],[Miscellaneous]])</f>
        <v>111.8</v>
      </c>
      <c r="O54" s="5">
        <f>AVERAGE(All_India_Index_Upto_April23__1___1[[#This Row],[General index]])</f>
        <v>115.8</v>
      </c>
      <c r="P54" s="2">
        <f>AVERAGE(E54:N54)</f>
        <v>113.23910256410257</v>
      </c>
      <c r="R54" s="10">
        <f t="shared" si="2"/>
        <v>103.15137586115155</v>
      </c>
      <c r="S54" s="10">
        <f t="shared" si="3"/>
        <v>103.14458288282677</v>
      </c>
      <c r="T54" s="10">
        <f t="shared" si="4"/>
        <v>103.26232784045557</v>
      </c>
      <c r="U54" s="10">
        <f t="shared" si="5"/>
        <v>99.347307999298067</v>
      </c>
      <c r="V54" s="10">
        <f t="shared" si="6"/>
        <v>99.744697231295248</v>
      </c>
      <c r="W54" s="10">
        <f t="shared" si="7"/>
        <v>98.28760338063887</v>
      </c>
      <c r="X54" s="10">
        <f t="shared" si="8"/>
        <v>98.199294662417287</v>
      </c>
      <c r="Y54" s="10">
        <f t="shared" si="9"/>
        <v>99.78885159040604</v>
      </c>
      <c r="Z54" s="10">
        <f t="shared" si="10"/>
        <v>96.344811579763714</v>
      </c>
    </row>
    <row r="55" spans="1:26" hidden="1" x14ac:dyDescent="0.3">
      <c r="A55" s="5" t="s">
        <v>30</v>
      </c>
      <c r="B55" s="5">
        <v>2014</v>
      </c>
      <c r="C55" s="5" t="s">
        <v>41</v>
      </c>
      <c r="D55" s="21">
        <f t="shared" si="0"/>
        <v>41791</v>
      </c>
      <c r="E55" s="4">
        <f>AVERAGE(All_India_Index_Upto_April23__1___1[[#This Row],[Cereals and products]:[Food and beverages]])</f>
        <v>117.36153846153844</v>
      </c>
      <c r="F55" s="5">
        <f>AVERAGE(All_India_Index_Upto_April23__1___1[[#This Row],[Pan, tobacco and intoxicants]])</f>
        <v>117.3</v>
      </c>
      <c r="G55" s="4">
        <f>AVERAGE(All_India_Index_Upto_April23__1___1[[#This Row],[Clothing]:[Clothing and footwear]])</f>
        <v>118.76666666666667</v>
      </c>
      <c r="H55" s="5">
        <f>AVERAGE(All_India_Index_Upto_April23__1___1[[#This Row],[Housing]:[Fuel and light]])</f>
        <v>114.4</v>
      </c>
      <c r="I55" s="5">
        <f>AVERAGE(All_India_Index_Upto_April23__1___1[[#This Row],[Household goods and services]:[Health]])</f>
        <v>113.85</v>
      </c>
      <c r="J55" s="5">
        <f>AVERAGE(All_India_Index_Upto_April23__1___1[[#This Row],[Transport and communication]])</f>
        <v>112.2</v>
      </c>
      <c r="K55" s="5">
        <f>AVERAGE(All_India_Index_Upto_April23__1___1[[#This Row],[Recreation and amusement]])</f>
        <v>111.4</v>
      </c>
      <c r="L55" s="5">
        <f>AVERAGE(All_India_Index_Upto_April23__1___1[[#This Row],[Education]])</f>
        <v>114.3</v>
      </c>
      <c r="M55" s="5">
        <f>AVERAGE(All_India_Index_Upto_April23__1___1[[#This Row],[Personal care and effects]])</f>
        <v>108</v>
      </c>
      <c r="N55" s="5">
        <f>AVERAGE(All_India_Index_Upto_April23__1___1[[#This Row],[Miscellaneous]])</f>
        <v>112.3</v>
      </c>
      <c r="O55" s="5">
        <f>AVERAGE(All_India_Index_Upto_April23__1___1[[#This Row],[General index]])</f>
        <v>117</v>
      </c>
      <c r="P55" s="2">
        <f t="shared" si="1"/>
        <v>1027.5782051282051</v>
      </c>
      <c r="R55" s="10">
        <f t="shared" si="2"/>
        <v>11.421178249581102</v>
      </c>
      <c r="S55" s="10">
        <f t="shared" si="3"/>
        <v>11.415189560717195</v>
      </c>
      <c r="T55" s="10">
        <f t="shared" si="4"/>
        <v>11.557919978640344</v>
      </c>
      <c r="U55" s="10">
        <f t="shared" si="5"/>
        <v>11.132972598005518</v>
      </c>
      <c r="V55" s="10">
        <f t="shared" si="6"/>
        <v>11.079448691284338</v>
      </c>
      <c r="W55" s="10">
        <f t="shared" si="7"/>
        <v>10.918876971120795</v>
      </c>
      <c r="X55" s="10">
        <f t="shared" si="8"/>
        <v>10.841024015889989</v>
      </c>
      <c r="Y55" s="10">
        <f t="shared" si="9"/>
        <v>11.123240978601666</v>
      </c>
      <c r="Z55" s="10">
        <f t="shared" si="10"/>
        <v>10.510148956159055</v>
      </c>
    </row>
    <row r="56" spans="1:26" hidden="1" x14ac:dyDescent="0.3">
      <c r="A56" s="6" t="s">
        <v>32</v>
      </c>
      <c r="B56" s="6">
        <v>2014</v>
      </c>
      <c r="C56" s="6" t="s">
        <v>41</v>
      </c>
      <c r="D56" s="21">
        <f t="shared" si="0"/>
        <v>41791</v>
      </c>
      <c r="E56" s="4">
        <f>AVERAGE(All_India_Index_Upto_April23__1___1[[#This Row],[Cereals and products]:[Food and beverages]])</f>
        <v>119</v>
      </c>
      <c r="F56" s="5">
        <f>AVERAGE(All_India_Index_Upto_April23__1___1[[#This Row],[Pan, tobacco and intoxicants]])</f>
        <v>119</v>
      </c>
      <c r="G56" s="4">
        <f>AVERAGE(All_India_Index_Upto_April23__1___1[[#This Row],[Clothing]:[Clothing and footwear]])</f>
        <v>115.76666666666667</v>
      </c>
      <c r="H56" s="5">
        <f>AVERAGE(All_India_Index_Upto_April23__1___1[[#This Row],[Housing]:[Fuel and light]])</f>
        <v>111.2</v>
      </c>
      <c r="I56" s="5">
        <f>AVERAGE(All_India_Index_Upto_April23__1___1[[#This Row],[Household goods and services]:[Health]])</f>
        <v>112.85</v>
      </c>
      <c r="J56" s="5">
        <f>AVERAGE(All_India_Index_Upto_April23__1___1[[#This Row],[Transport and communication]])</f>
        <v>111.5</v>
      </c>
      <c r="K56" s="5">
        <f>AVERAGE(All_India_Index_Upto_April23__1___1[[#This Row],[Recreation and amusement]])</f>
        <v>111.8</v>
      </c>
      <c r="L56" s="5">
        <f>AVERAGE(All_India_Index_Upto_April23__1___1[[#This Row],[Education]])</f>
        <v>115.1</v>
      </c>
      <c r="M56" s="5">
        <f>AVERAGE(All_India_Index_Upto_April23__1___1[[#This Row],[Personal care and effects]])</f>
        <v>108.7</v>
      </c>
      <c r="N56" s="5">
        <f>AVERAGE(All_India_Index_Upto_April23__1___1[[#This Row],[Miscellaneous]])</f>
        <v>112.2</v>
      </c>
      <c r="O56" s="5">
        <f>AVERAGE(All_India_Index_Upto_April23__1___1[[#This Row],[General index]])</f>
        <v>116.4</v>
      </c>
      <c r="P56" s="2">
        <f t="shared" si="1"/>
        <v>1024.9166666666665</v>
      </c>
      <c r="R56" s="10">
        <f t="shared" si="2"/>
        <v>11.610700056915197</v>
      </c>
      <c r="S56" s="10">
        <f t="shared" si="3"/>
        <v>11.610700056915197</v>
      </c>
      <c r="T56" s="10">
        <f t="shared" si="4"/>
        <v>11.295227254248315</v>
      </c>
      <c r="U56" s="10">
        <f t="shared" si="5"/>
        <v>10.849662574193026</v>
      </c>
      <c r="V56" s="10">
        <f t="shared" si="6"/>
        <v>11.010651272461176</v>
      </c>
      <c r="W56" s="10">
        <f t="shared" si="7"/>
        <v>10.878933246605417</v>
      </c>
      <c r="X56" s="10">
        <f t="shared" si="8"/>
        <v>10.908203919017808</v>
      </c>
      <c r="Y56" s="10">
        <f t="shared" si="9"/>
        <v>11.230181315554111</v>
      </c>
      <c r="Z56" s="10">
        <f t="shared" si="10"/>
        <v>10.605740304089766</v>
      </c>
    </row>
    <row r="57" spans="1:26" hidden="1" x14ac:dyDescent="0.3">
      <c r="A57" s="5" t="s">
        <v>34</v>
      </c>
      <c r="B57" s="5">
        <v>2014</v>
      </c>
      <c r="C57" s="5" t="s">
        <v>41</v>
      </c>
      <c r="D57" s="21">
        <f t="shared" si="0"/>
        <v>41791</v>
      </c>
      <c r="E57" s="4">
        <f>AVERAGE(All_India_Index_Upto_April23__1___1[[#This Row],[Cereals and products]:[Food and beverages]])</f>
        <v>117.9769230769231</v>
      </c>
      <c r="F57" s="5">
        <f>AVERAGE(All_India_Index_Upto_April23__1___1[[#This Row],[Pan, tobacco and intoxicants]])</f>
        <v>117.8</v>
      </c>
      <c r="G57" s="4">
        <f>AVERAGE(All_India_Index_Upto_April23__1___1[[#This Row],[Clothing]:[Clothing and footwear]])</f>
        <v>117.56666666666666</v>
      </c>
      <c r="H57" s="5">
        <f>AVERAGE(All_India_Index_Upto_April23__1___1[[#This Row],[Housing]:[Fuel and light]])</f>
        <v>113.2</v>
      </c>
      <c r="I57" s="5">
        <f>AVERAGE(All_India_Index_Upto_April23__1___1[[#This Row],[Household goods and services]:[Health]])</f>
        <v>113.44999999999999</v>
      </c>
      <c r="J57" s="5">
        <f>AVERAGE(All_India_Index_Upto_April23__1___1[[#This Row],[Transport and communication]])</f>
        <v>111.8</v>
      </c>
      <c r="K57" s="5">
        <f>AVERAGE(All_India_Index_Upto_April23__1___1[[#This Row],[Recreation and amusement]])</f>
        <v>111.6</v>
      </c>
      <c r="L57" s="5">
        <f>AVERAGE(All_India_Index_Upto_April23__1___1[[#This Row],[Education]])</f>
        <v>114.8</v>
      </c>
      <c r="M57" s="5">
        <f>AVERAGE(All_India_Index_Upto_April23__1___1[[#This Row],[Personal care and effects]])</f>
        <v>108.3</v>
      </c>
      <c r="N57" s="5">
        <f>AVERAGE(All_India_Index_Upto_April23__1___1[[#This Row],[Miscellaneous]])</f>
        <v>112.3</v>
      </c>
      <c r="O57" s="5">
        <f>AVERAGE(All_India_Index_Upto_April23__1___1[[#This Row],[General index]])</f>
        <v>116.7</v>
      </c>
      <c r="P57" s="2">
        <f>AVERAGE(E57:N57)</f>
        <v>113.87935897435895</v>
      </c>
      <c r="R57" s="10">
        <f t="shared" si="2"/>
        <v>103.59816224772283</v>
      </c>
      <c r="S57" s="10">
        <f t="shared" si="3"/>
        <v>103.44280215567758</v>
      </c>
      <c r="T57" s="10">
        <f t="shared" si="4"/>
        <v>103.23790696182084</v>
      </c>
      <c r="U57" s="10">
        <f t="shared" si="5"/>
        <v>99.403439762501719</v>
      </c>
      <c r="V57" s="10">
        <f t="shared" si="6"/>
        <v>99.622970327348227</v>
      </c>
      <c r="W57" s="10">
        <f t="shared" si="7"/>
        <v>98.174068599361249</v>
      </c>
      <c r="X57" s="10">
        <f t="shared" si="8"/>
        <v>97.998444147484022</v>
      </c>
      <c r="Y57" s="10">
        <f t="shared" si="9"/>
        <v>100.80843537751943</v>
      </c>
      <c r="Z57" s="10">
        <f t="shared" si="10"/>
        <v>95.100640691510037</v>
      </c>
    </row>
    <row r="58" spans="1:26" hidden="1" x14ac:dyDescent="0.3">
      <c r="A58" s="6" t="s">
        <v>30</v>
      </c>
      <c r="B58" s="6">
        <v>2014</v>
      </c>
      <c r="C58" s="6" t="s">
        <v>43</v>
      </c>
      <c r="D58" s="21">
        <f t="shared" si="0"/>
        <v>41821</v>
      </c>
      <c r="E58" s="4">
        <f>AVERAGE(All_India_Index_Upto_April23__1___1[[#This Row],[Cereals and products]:[Food and beverages]])</f>
        <v>120.24615384615385</v>
      </c>
      <c r="F58" s="5">
        <f>AVERAGE(All_India_Index_Upto_April23__1___1[[#This Row],[Pan, tobacco and intoxicants]])</f>
        <v>118</v>
      </c>
      <c r="G58" s="4">
        <f>AVERAGE(All_India_Index_Upto_April23__1___1[[#This Row],[Clothing]:[Clothing and footwear]])</f>
        <v>119.76666666666667</v>
      </c>
      <c r="H58" s="5">
        <f>AVERAGE(All_India_Index_Upto_April23__1___1[[#This Row],[Housing]:[Fuel and light]])</f>
        <v>115.3</v>
      </c>
      <c r="I58" s="5">
        <f>AVERAGE(All_India_Index_Upto_April23__1___1[[#This Row],[Household goods and services]:[Health]])</f>
        <v>114.4</v>
      </c>
      <c r="J58" s="5">
        <f>AVERAGE(All_India_Index_Upto_April23__1___1[[#This Row],[Transport and communication]])</f>
        <v>113.2</v>
      </c>
      <c r="K58" s="5">
        <f>AVERAGE(All_India_Index_Upto_April23__1___1[[#This Row],[Recreation and amusement]])</f>
        <v>111.8</v>
      </c>
      <c r="L58" s="5">
        <f>AVERAGE(All_India_Index_Upto_April23__1___1[[#This Row],[Education]])</f>
        <v>115.5</v>
      </c>
      <c r="M58" s="5">
        <f>AVERAGE(All_India_Index_Upto_April23__1___1[[#This Row],[Personal care and effects]])</f>
        <v>108.8</v>
      </c>
      <c r="N58" s="5">
        <f>AVERAGE(All_India_Index_Upto_April23__1___1[[#This Row],[Miscellaneous]])</f>
        <v>113.1</v>
      </c>
      <c r="O58" s="5">
        <f>AVERAGE(All_India_Index_Upto_April23__1___1[[#This Row],[General index]])</f>
        <v>119.5</v>
      </c>
      <c r="P58" s="2">
        <f t="shared" si="1"/>
        <v>1037.0128205128206</v>
      </c>
      <c r="R58" s="10">
        <f t="shared" si="2"/>
        <v>11.595435607699629</v>
      </c>
      <c r="S58" s="10">
        <f t="shared" si="3"/>
        <v>11.378837143175048</v>
      </c>
      <c r="T58" s="10">
        <f t="shared" si="4"/>
        <v>11.549198264245181</v>
      </c>
      <c r="U58" s="10">
        <f t="shared" si="5"/>
        <v>11.118473920407482</v>
      </c>
      <c r="V58" s="10">
        <f t="shared" si="6"/>
        <v>11.031686179484961</v>
      </c>
      <c r="W58" s="10">
        <f t="shared" si="7"/>
        <v>10.915969191588266</v>
      </c>
      <c r="X58" s="10">
        <f t="shared" si="8"/>
        <v>10.78096603904212</v>
      </c>
      <c r="Y58" s="10">
        <f t="shared" si="9"/>
        <v>11.13776008505693</v>
      </c>
      <c r="Z58" s="10">
        <f t="shared" si="10"/>
        <v>10.491673569300382</v>
      </c>
    </row>
    <row r="59" spans="1:26" hidden="1" x14ac:dyDescent="0.3">
      <c r="A59" s="5" t="s">
        <v>32</v>
      </c>
      <c r="B59" s="5">
        <v>2014</v>
      </c>
      <c r="C59" s="5" t="s">
        <v>43</v>
      </c>
      <c r="D59" s="21">
        <f t="shared" si="0"/>
        <v>41821</v>
      </c>
      <c r="E59" s="4">
        <f>AVERAGE(All_India_Index_Upto_April23__1___1[[#This Row],[Cereals and products]:[Food and beverages]])</f>
        <v>123.03846153846153</v>
      </c>
      <c r="F59" s="5">
        <f>AVERAGE(All_India_Index_Upto_April23__1___1[[#This Row],[Pan, tobacco and intoxicants]])</f>
        <v>121</v>
      </c>
      <c r="G59" s="4">
        <f>AVERAGE(All_India_Index_Upto_April23__1___1[[#This Row],[Clothing]:[Clothing and footwear]])</f>
        <v>116.33333333333333</v>
      </c>
      <c r="H59" s="5">
        <f>AVERAGE(All_India_Index_Upto_April23__1___1[[#This Row],[Housing]:[Fuel and light]])</f>
        <v>111.6</v>
      </c>
      <c r="I59" s="5">
        <f>AVERAGE(All_India_Index_Upto_April23__1___1[[#This Row],[Household goods and services]:[Health]])</f>
        <v>113.2</v>
      </c>
      <c r="J59" s="5">
        <f>AVERAGE(All_India_Index_Upto_April23__1___1[[#This Row],[Transport and communication]])</f>
        <v>113</v>
      </c>
      <c r="K59" s="5">
        <f>AVERAGE(All_India_Index_Upto_April23__1___1[[#This Row],[Recreation and amusement]])</f>
        <v>112.4</v>
      </c>
      <c r="L59" s="5">
        <f>AVERAGE(All_India_Index_Upto_April23__1___1[[#This Row],[Education]])</f>
        <v>117.8</v>
      </c>
      <c r="M59" s="5">
        <f>AVERAGE(All_India_Index_Upto_April23__1___1[[#This Row],[Personal care and effects]])</f>
        <v>109.7</v>
      </c>
      <c r="N59" s="5">
        <f>AVERAGE(All_India_Index_Upto_April23__1___1[[#This Row],[Miscellaneous]])</f>
        <v>113.5</v>
      </c>
      <c r="O59" s="5">
        <f>AVERAGE(All_India_Index_Upto_April23__1___1[[#This Row],[General index]])</f>
        <v>118.9</v>
      </c>
      <c r="P59" s="2">
        <f t="shared" si="1"/>
        <v>1038.0717948717947</v>
      </c>
      <c r="R59" s="10">
        <f t="shared" si="2"/>
        <v>11.852596530055726</v>
      </c>
      <c r="S59" s="10">
        <f t="shared" si="3"/>
        <v>11.656226534403038</v>
      </c>
      <c r="T59" s="10">
        <f t="shared" si="4"/>
        <v>11.20667509781449</v>
      </c>
      <c r="U59" s="10">
        <f t="shared" si="5"/>
        <v>10.750701497846107</v>
      </c>
      <c r="V59" s="10">
        <f t="shared" si="6"/>
        <v>10.904833418962181</v>
      </c>
      <c r="W59" s="10">
        <f t="shared" si="7"/>
        <v>10.885566928822671</v>
      </c>
      <c r="X59" s="10">
        <f t="shared" si="8"/>
        <v>10.827767458404145</v>
      </c>
      <c r="Y59" s="10">
        <f t="shared" si="9"/>
        <v>11.34796269217089</v>
      </c>
      <c r="Z59" s="10">
        <f t="shared" si="10"/>
        <v>10.56766984152077</v>
      </c>
    </row>
    <row r="60" spans="1:26" hidden="1" x14ac:dyDescent="0.3">
      <c r="A60" s="6" t="s">
        <v>34</v>
      </c>
      <c r="B60" s="6">
        <v>2014</v>
      </c>
      <c r="C60" s="6" t="s">
        <v>43</v>
      </c>
      <c r="D60" s="21">
        <f t="shared" si="0"/>
        <v>41821</v>
      </c>
      <c r="E60" s="4">
        <f>AVERAGE(All_India_Index_Upto_April23__1___1[[#This Row],[Cereals and products]:[Food and beverages]])</f>
        <v>121.25384615384615</v>
      </c>
      <c r="F60" s="5">
        <f>AVERAGE(All_India_Index_Upto_April23__1___1[[#This Row],[Pan, tobacco and intoxicants]])</f>
        <v>118.8</v>
      </c>
      <c r="G60" s="4">
        <f>AVERAGE(All_India_Index_Upto_April23__1___1[[#This Row],[Clothing]:[Clothing and footwear]])</f>
        <v>118.33333333333333</v>
      </c>
      <c r="H60" s="5">
        <f>AVERAGE(All_India_Index_Upto_April23__1___1[[#This Row],[Housing]:[Fuel and light]])</f>
        <v>113.9</v>
      </c>
      <c r="I60" s="5">
        <f>AVERAGE(All_India_Index_Upto_April23__1___1[[#This Row],[Household goods and services]:[Health]])</f>
        <v>113.95</v>
      </c>
      <c r="J60" s="5">
        <f>AVERAGE(All_India_Index_Upto_April23__1___1[[#This Row],[Transport and communication]])</f>
        <v>113.1</v>
      </c>
      <c r="K60" s="5">
        <f>AVERAGE(All_India_Index_Upto_April23__1___1[[#This Row],[Recreation and amusement]])</f>
        <v>112.1</v>
      </c>
      <c r="L60" s="5">
        <f>AVERAGE(All_India_Index_Upto_April23__1___1[[#This Row],[Education]])</f>
        <v>116.8</v>
      </c>
      <c r="M60" s="5">
        <f>AVERAGE(All_India_Index_Upto_April23__1___1[[#This Row],[Personal care and effects]])</f>
        <v>109.2</v>
      </c>
      <c r="N60" s="5">
        <f>AVERAGE(All_India_Index_Upto_April23__1___1[[#This Row],[Miscellaneous]])</f>
        <v>113.3</v>
      </c>
      <c r="O60" s="5">
        <f>AVERAGE(All_India_Index_Upto_April23__1___1[[#This Row],[General index]])</f>
        <v>119.2</v>
      </c>
      <c r="P60" s="2">
        <f>AVERAGE(E60:N60)</f>
        <v>115.07371794871794</v>
      </c>
      <c r="R60" s="10">
        <f t="shared" si="2"/>
        <v>105.37058184552824</v>
      </c>
      <c r="S60" s="10">
        <f t="shared" si="3"/>
        <v>103.23816951229703</v>
      </c>
      <c r="T60" s="10">
        <f t="shared" si="4"/>
        <v>102.83263237055399</v>
      </c>
      <c r="U60" s="10">
        <f t="shared" si="5"/>
        <v>98.980029523995213</v>
      </c>
      <c r="V60" s="10">
        <f t="shared" si="6"/>
        <v>99.023479932039109</v>
      </c>
      <c r="W60" s="10">
        <f t="shared" si="7"/>
        <v>98.28482299529287</v>
      </c>
      <c r="X60" s="10">
        <f t="shared" si="8"/>
        <v>97.415814834414945</v>
      </c>
      <c r="Y60" s="10">
        <f t="shared" si="9"/>
        <v>101.50015319054117</v>
      </c>
      <c r="Z60" s="10">
        <f t="shared" si="10"/>
        <v>94.895691167868989</v>
      </c>
    </row>
    <row r="61" spans="1:26" hidden="1" x14ac:dyDescent="0.3">
      <c r="A61" s="5" t="s">
        <v>30</v>
      </c>
      <c r="B61" s="5">
        <v>2014</v>
      </c>
      <c r="C61" s="5" t="s">
        <v>45</v>
      </c>
      <c r="D61" s="21">
        <f t="shared" si="0"/>
        <v>41852</v>
      </c>
      <c r="E61" s="4">
        <f>AVERAGE(All_India_Index_Upto_April23__1___1[[#This Row],[Cereals and products]:[Food and beverages]])</f>
        <v>121.71538461538459</v>
      </c>
      <c r="F61" s="5">
        <f>AVERAGE(All_India_Index_Upto_April23__1___1[[#This Row],[Pan, tobacco and intoxicants]])</f>
        <v>118.8</v>
      </c>
      <c r="G61" s="4">
        <f>AVERAGE(All_India_Index_Upto_April23__1___1[[#This Row],[Clothing]:[Clothing and footwear]])</f>
        <v>120.13333333333333</v>
      </c>
      <c r="H61" s="5">
        <f>AVERAGE(All_India_Index_Upto_April23__1___1[[#This Row],[Housing]:[Fuel and light]])</f>
        <v>115.4</v>
      </c>
      <c r="I61" s="5">
        <f>AVERAGE(All_India_Index_Upto_April23__1___1[[#This Row],[Household goods and services]:[Health]])</f>
        <v>114.95</v>
      </c>
      <c r="J61" s="5">
        <f>AVERAGE(All_India_Index_Upto_April23__1___1[[#This Row],[Transport and communication]])</f>
        <v>113.2</v>
      </c>
      <c r="K61" s="5">
        <f>AVERAGE(All_India_Index_Upto_April23__1___1[[#This Row],[Recreation and amusement]])</f>
        <v>112.2</v>
      </c>
      <c r="L61" s="5">
        <f>AVERAGE(All_India_Index_Upto_April23__1___1[[#This Row],[Education]])</f>
        <v>116.2</v>
      </c>
      <c r="M61" s="5">
        <f>AVERAGE(All_India_Index_Upto_April23__1___1[[#This Row],[Personal care and effects]])</f>
        <v>109.4</v>
      </c>
      <c r="N61" s="5">
        <f>AVERAGE(All_India_Index_Upto_April23__1___1[[#This Row],[Miscellaneous]])</f>
        <v>113.5</v>
      </c>
      <c r="O61" s="5">
        <f>AVERAGE(All_India_Index_Upto_April23__1___1[[#This Row],[General index]])</f>
        <v>120.7</v>
      </c>
      <c r="P61" s="2">
        <f t="shared" si="1"/>
        <v>1041.9987179487182</v>
      </c>
      <c r="R61" s="10">
        <f t="shared" si="2"/>
        <v>11.680953394548686</v>
      </c>
      <c r="S61" s="10">
        <f t="shared" si="3"/>
        <v>11.401165659192944</v>
      </c>
      <c r="T61" s="10">
        <f t="shared" si="4"/>
        <v>11.529124869733829</v>
      </c>
      <c r="U61" s="10">
        <f t="shared" si="5"/>
        <v>11.074869672313685</v>
      </c>
      <c r="V61" s="10">
        <f t="shared" si="6"/>
        <v>11.031683438756136</v>
      </c>
      <c r="W61" s="10">
        <f t="shared" si="7"/>
        <v>10.863736974921224</v>
      </c>
      <c r="X61" s="10">
        <f t="shared" si="8"/>
        <v>10.767767567015559</v>
      </c>
      <c r="Y61" s="10">
        <f t="shared" si="9"/>
        <v>11.151645198638215</v>
      </c>
      <c r="Z61" s="10">
        <f t="shared" si="10"/>
        <v>10.499053224879699</v>
      </c>
    </row>
    <row r="62" spans="1:26" hidden="1" x14ac:dyDescent="0.3">
      <c r="A62" s="6" t="s">
        <v>32</v>
      </c>
      <c r="B62" s="6">
        <v>2014</v>
      </c>
      <c r="C62" s="6" t="s">
        <v>45</v>
      </c>
      <c r="D62" s="21">
        <f t="shared" si="0"/>
        <v>41852</v>
      </c>
      <c r="E62" s="4">
        <f>AVERAGE(All_India_Index_Upto_April23__1___1[[#This Row],[Cereals and products]:[Food and beverages]])</f>
        <v>124.38461538461539</v>
      </c>
      <c r="F62" s="5">
        <f>AVERAGE(All_India_Index_Upto_April23__1___1[[#This Row],[Pan, tobacco and intoxicants]])</f>
        <v>123</v>
      </c>
      <c r="G62" s="4">
        <f>AVERAGE(All_India_Index_Upto_April23__1___1[[#This Row],[Clothing]:[Clothing and footwear]])</f>
        <v>116.86666666666667</v>
      </c>
      <c r="H62" s="5">
        <f>AVERAGE(All_India_Index_Upto_April23__1___1[[#This Row],[Housing]:[Fuel and light]])</f>
        <v>111.8</v>
      </c>
      <c r="I62" s="5">
        <f>AVERAGE(All_India_Index_Upto_April23__1___1[[#This Row],[Household goods and services]:[Health]])</f>
        <v>113.75</v>
      </c>
      <c r="J62" s="5">
        <f>AVERAGE(All_India_Index_Upto_April23__1___1[[#This Row],[Transport and communication]])</f>
        <v>112.5</v>
      </c>
      <c r="K62" s="5">
        <f>AVERAGE(All_India_Index_Upto_April23__1___1[[#This Row],[Recreation and amusement]])</f>
        <v>112.9</v>
      </c>
      <c r="L62" s="5">
        <f>AVERAGE(All_India_Index_Upto_April23__1___1[[#This Row],[Education]])</f>
        <v>119.2</v>
      </c>
      <c r="M62" s="5">
        <f>AVERAGE(All_India_Index_Upto_April23__1___1[[#This Row],[Personal care and effects]])</f>
        <v>110.5</v>
      </c>
      <c r="N62" s="5">
        <f>AVERAGE(All_India_Index_Upto_April23__1___1[[#This Row],[Miscellaneous]])</f>
        <v>113.9</v>
      </c>
      <c r="O62" s="5">
        <f>AVERAGE(All_India_Index_Upto_April23__1___1[[#This Row],[General index]])</f>
        <v>119.9</v>
      </c>
      <c r="P62" s="2">
        <f t="shared" si="1"/>
        <v>1044.9012820512821</v>
      </c>
      <c r="R62" s="10">
        <f t="shared" si="2"/>
        <v>11.903958538593388</v>
      </c>
      <c r="S62" s="10">
        <f t="shared" si="3"/>
        <v>11.77144694076118</v>
      </c>
      <c r="T62" s="10">
        <f t="shared" si="4"/>
        <v>11.184469640734065</v>
      </c>
      <c r="U62" s="10">
        <f t="shared" si="5"/>
        <v>10.699575349407315</v>
      </c>
      <c r="V62" s="10">
        <f t="shared" si="6"/>
        <v>10.886195849687677</v>
      </c>
      <c r="W62" s="10">
        <f t="shared" si="7"/>
        <v>10.766567323866932</v>
      </c>
      <c r="X62" s="10">
        <f t="shared" si="8"/>
        <v>10.804848452129571</v>
      </c>
      <c r="Y62" s="10">
        <f t="shared" si="9"/>
        <v>11.407776222266119</v>
      </c>
      <c r="Z62" s="10">
        <f t="shared" si="10"/>
        <v>10.575161682553743</v>
      </c>
    </row>
    <row r="63" spans="1:26" hidden="1" x14ac:dyDescent="0.3">
      <c r="A63" s="5" t="s">
        <v>34</v>
      </c>
      <c r="B63" s="5">
        <v>2014</v>
      </c>
      <c r="C63" s="5" t="s">
        <v>45</v>
      </c>
      <c r="D63" s="21">
        <f t="shared" si="0"/>
        <v>41852</v>
      </c>
      <c r="E63" s="4">
        <f>AVERAGE(All_India_Index_Upto_April23__1___1[[#This Row],[Cereals and products]:[Food and beverages]])</f>
        <v>122.65384615384613</v>
      </c>
      <c r="F63" s="5">
        <f>AVERAGE(All_India_Index_Upto_April23__1___1[[#This Row],[Pan, tobacco and intoxicants]])</f>
        <v>119.9</v>
      </c>
      <c r="G63" s="4">
        <f>AVERAGE(All_India_Index_Upto_April23__1___1[[#This Row],[Clothing]:[Clothing and footwear]])</f>
        <v>118.8</v>
      </c>
      <c r="H63" s="5">
        <f>AVERAGE(All_India_Index_Upto_April23__1___1[[#This Row],[Housing]:[Fuel and light]])</f>
        <v>114</v>
      </c>
      <c r="I63" s="5">
        <f>AVERAGE(All_India_Index_Upto_April23__1___1[[#This Row],[Household goods and services]:[Health]])</f>
        <v>114.44999999999999</v>
      </c>
      <c r="J63" s="5">
        <f>AVERAGE(All_India_Index_Upto_April23__1___1[[#This Row],[Transport and communication]])</f>
        <v>112.8</v>
      </c>
      <c r="K63" s="5">
        <f>AVERAGE(All_India_Index_Upto_April23__1___1[[#This Row],[Recreation and amusement]])</f>
        <v>112.6</v>
      </c>
      <c r="L63" s="5">
        <f>AVERAGE(All_India_Index_Upto_April23__1___1[[#This Row],[Education]])</f>
        <v>118</v>
      </c>
      <c r="M63" s="5">
        <f>AVERAGE(All_India_Index_Upto_April23__1___1[[#This Row],[Personal care and effects]])</f>
        <v>109.9</v>
      </c>
      <c r="N63" s="5">
        <f>AVERAGE(All_India_Index_Upto_April23__1___1[[#This Row],[Miscellaneous]])</f>
        <v>113.7</v>
      </c>
      <c r="O63" s="5">
        <f>AVERAGE(All_India_Index_Upto_April23__1___1[[#This Row],[General index]])</f>
        <v>120.3</v>
      </c>
      <c r="P63" s="2">
        <f>AVERAGE(E63:N63)</f>
        <v>115.68038461538461</v>
      </c>
      <c r="R63" s="10">
        <f t="shared" si="2"/>
        <v>106.02821434389847</v>
      </c>
      <c r="S63" s="10">
        <f t="shared" si="3"/>
        <v>103.64764985753187</v>
      </c>
      <c r="T63" s="10">
        <f t="shared" si="4"/>
        <v>102.69675398727927</v>
      </c>
      <c r="U63" s="10">
        <f t="shared" si="5"/>
        <v>98.547390189813441</v>
      </c>
      <c r="V63" s="10">
        <f t="shared" si="6"/>
        <v>98.936393045825866</v>
      </c>
      <c r="W63" s="10">
        <f t="shared" si="7"/>
        <v>97.510049240446989</v>
      </c>
      <c r="X63" s="10">
        <f t="shared" si="8"/>
        <v>97.337159082219245</v>
      </c>
      <c r="Y63" s="10">
        <f t="shared" si="9"/>
        <v>102.0051933543683</v>
      </c>
      <c r="Z63" s="10">
        <f t="shared" si="10"/>
        <v>95.003141946144723</v>
      </c>
    </row>
    <row r="64" spans="1:26" hidden="1" x14ac:dyDescent="0.3">
      <c r="A64" s="6" t="s">
        <v>30</v>
      </c>
      <c r="B64" s="6">
        <v>2014</v>
      </c>
      <c r="C64" s="6" t="s">
        <v>47</v>
      </c>
      <c r="D64" s="21">
        <f t="shared" si="0"/>
        <v>41883</v>
      </c>
      <c r="E64" s="4">
        <f>AVERAGE(All_India_Index_Upto_April23__1___1[[#This Row],[Cereals and products]:[Food and beverages]])</f>
        <v>121.78461538461539</v>
      </c>
      <c r="F64" s="5">
        <f>AVERAGE(All_India_Index_Upto_April23__1___1[[#This Row],[Pan, tobacco and intoxicants]])</f>
        <v>119.5</v>
      </c>
      <c r="G64" s="4">
        <f>AVERAGE(All_India_Index_Upto_April23__1___1[[#This Row],[Clothing]:[Clothing and footwear]])</f>
        <v>120.73333333333333</v>
      </c>
      <c r="H64" s="5">
        <f>AVERAGE(All_India_Index_Upto_April23__1___1[[#This Row],[Housing]:[Fuel and light]])</f>
        <v>115.8</v>
      </c>
      <c r="I64" s="5">
        <f>AVERAGE(All_India_Index_Upto_April23__1___1[[#This Row],[Household goods and services]:[Health]])</f>
        <v>115.6</v>
      </c>
      <c r="J64" s="5">
        <f>AVERAGE(All_India_Index_Upto_April23__1___1[[#This Row],[Transport and communication]])</f>
        <v>112.8</v>
      </c>
      <c r="K64" s="5">
        <f>AVERAGE(All_India_Index_Upto_April23__1___1[[#This Row],[Recreation and amusement]])</f>
        <v>112.6</v>
      </c>
      <c r="L64" s="5">
        <f>AVERAGE(All_India_Index_Upto_April23__1___1[[#This Row],[Education]])</f>
        <v>116.6</v>
      </c>
      <c r="M64" s="5">
        <f>AVERAGE(All_India_Index_Upto_April23__1___1[[#This Row],[Personal care and effects]])</f>
        <v>109.1</v>
      </c>
      <c r="N64" s="5">
        <f>AVERAGE(All_India_Index_Upto_April23__1___1[[#This Row],[Miscellaneous]])</f>
        <v>113.7</v>
      </c>
      <c r="O64" s="5">
        <f>AVERAGE(All_India_Index_Upto_April23__1___1[[#This Row],[General index]])</f>
        <v>120.9</v>
      </c>
      <c r="P64" s="2">
        <f t="shared" si="1"/>
        <v>1044.5179487179487</v>
      </c>
      <c r="R64" s="10">
        <f t="shared" si="2"/>
        <v>11.659408584993201</v>
      </c>
      <c r="S64" s="10">
        <f t="shared" si="3"/>
        <v>11.44068420716709</v>
      </c>
      <c r="T64" s="10">
        <f t="shared" si="4"/>
        <v>11.558761003726415</v>
      </c>
      <c r="U64" s="10">
        <f t="shared" si="5"/>
        <v>11.086453817489113</v>
      </c>
      <c r="V64" s="10">
        <f t="shared" si="6"/>
        <v>11.06730622885787</v>
      </c>
      <c r="W64" s="10">
        <f t="shared" si="7"/>
        <v>10.799239988020483</v>
      </c>
      <c r="X64" s="10">
        <f t="shared" si="8"/>
        <v>10.78009239938924</v>
      </c>
      <c r="Y64" s="10">
        <f t="shared" si="9"/>
        <v>11.163044172014081</v>
      </c>
      <c r="Z64" s="10">
        <f t="shared" si="10"/>
        <v>10.445009598342505</v>
      </c>
    </row>
    <row r="65" spans="1:26" hidden="1" x14ac:dyDescent="0.3">
      <c r="A65" s="5" t="s">
        <v>32</v>
      </c>
      <c r="B65" s="5">
        <v>2014</v>
      </c>
      <c r="C65" s="5" t="s">
        <v>47</v>
      </c>
      <c r="D65" s="21">
        <f t="shared" si="0"/>
        <v>41883</v>
      </c>
      <c r="E65" s="4">
        <f>AVERAGE(All_India_Index_Upto_April23__1___1[[#This Row],[Cereals and products]:[Food and beverages]])</f>
        <v>122.59230769230771</v>
      </c>
      <c r="F65" s="5">
        <f>AVERAGE(All_India_Index_Upto_April23__1___1[[#This Row],[Pan, tobacco and intoxicants]])</f>
        <v>124.3</v>
      </c>
      <c r="G65" s="4">
        <f>AVERAGE(All_India_Index_Upto_April23__1___1[[#This Row],[Clothing]:[Clothing and footwear]])</f>
        <v>117.36666666666667</v>
      </c>
      <c r="H65" s="5">
        <f>AVERAGE(All_India_Index_Upto_April23__1___1[[#This Row],[Housing]:[Fuel and light]])</f>
        <v>111.8</v>
      </c>
      <c r="I65" s="5">
        <f>AVERAGE(All_India_Index_Upto_April23__1___1[[#This Row],[Household goods and services]:[Health]])</f>
        <v>113.9</v>
      </c>
      <c r="J65" s="5">
        <f>AVERAGE(All_India_Index_Upto_April23__1___1[[#This Row],[Transport and communication]])</f>
        <v>111.2</v>
      </c>
      <c r="K65" s="5">
        <f>AVERAGE(All_India_Index_Upto_April23__1___1[[#This Row],[Recreation and amusement]])</f>
        <v>113.4</v>
      </c>
      <c r="L65" s="5">
        <f>AVERAGE(All_India_Index_Upto_April23__1___1[[#This Row],[Education]])</f>
        <v>120</v>
      </c>
      <c r="M65" s="5">
        <f>AVERAGE(All_India_Index_Upto_April23__1___1[[#This Row],[Personal care and effects]])</f>
        <v>110</v>
      </c>
      <c r="N65" s="5">
        <f>AVERAGE(All_India_Index_Upto_April23__1___1[[#This Row],[Miscellaneous]])</f>
        <v>113.6</v>
      </c>
      <c r="O65" s="5">
        <f>AVERAGE(All_India_Index_Upto_April23__1___1[[#This Row],[General index]])</f>
        <v>119.2</v>
      </c>
      <c r="P65" s="2">
        <f t="shared" si="1"/>
        <v>1044.5589743589744</v>
      </c>
      <c r="R65" s="10">
        <f t="shared" si="2"/>
        <v>11.736274418353473</v>
      </c>
      <c r="S65" s="10">
        <f t="shared" si="3"/>
        <v>11.899758946236663</v>
      </c>
      <c r="T65" s="10">
        <f t="shared" si="4"/>
        <v>11.236001944140332</v>
      </c>
      <c r="U65" s="10">
        <f t="shared" si="5"/>
        <v>10.70308165880337</v>
      </c>
      <c r="V65" s="10">
        <f t="shared" si="6"/>
        <v>10.904123443092164</v>
      </c>
      <c r="W65" s="10">
        <f t="shared" si="7"/>
        <v>10.645641149006574</v>
      </c>
      <c r="X65" s="10">
        <f t="shared" si="8"/>
        <v>10.856256351594833</v>
      </c>
      <c r="Y65" s="10">
        <f t="shared" si="9"/>
        <v>11.488101959359613</v>
      </c>
      <c r="Z65" s="10">
        <f t="shared" si="10"/>
        <v>10.530760129412977</v>
      </c>
    </row>
    <row r="66" spans="1:26" hidden="1" x14ac:dyDescent="0.3">
      <c r="A66" s="6" t="s">
        <v>34</v>
      </c>
      <c r="B66" s="6">
        <v>2014</v>
      </c>
      <c r="C66" s="6" t="s">
        <v>47</v>
      </c>
      <c r="D66" s="21">
        <f t="shared" si="0"/>
        <v>41883</v>
      </c>
      <c r="E66" s="4">
        <f>AVERAGE(All_India_Index_Upto_April23__1___1[[#This Row],[Cereals and products]:[Food and beverages]])</f>
        <v>122.00769230769228</v>
      </c>
      <c r="F66" s="5">
        <f>AVERAGE(All_India_Index_Upto_April23__1___1[[#This Row],[Pan, tobacco and intoxicants]])</f>
        <v>120.8</v>
      </c>
      <c r="G66" s="4">
        <f>AVERAGE(All_India_Index_Upto_April23__1___1[[#This Row],[Clothing]:[Clothing and footwear]])</f>
        <v>119.33333333333333</v>
      </c>
      <c r="H66" s="5">
        <f>AVERAGE(All_India_Index_Upto_April23__1___1[[#This Row],[Housing]:[Fuel and light]])</f>
        <v>114.3</v>
      </c>
      <c r="I66" s="5">
        <f>AVERAGE(All_India_Index_Upto_April23__1___1[[#This Row],[Household goods and services]:[Health]])</f>
        <v>114.9</v>
      </c>
      <c r="J66" s="5">
        <f>AVERAGE(All_India_Index_Upto_April23__1___1[[#This Row],[Transport and communication]])</f>
        <v>112</v>
      </c>
      <c r="K66" s="5">
        <f>AVERAGE(All_India_Index_Upto_April23__1___1[[#This Row],[Recreation and amusement]])</f>
        <v>113.1</v>
      </c>
      <c r="L66" s="5">
        <f>AVERAGE(All_India_Index_Upto_April23__1___1[[#This Row],[Education]])</f>
        <v>118.6</v>
      </c>
      <c r="M66" s="5">
        <f>AVERAGE(All_India_Index_Upto_April23__1___1[[#This Row],[Personal care and effects]])</f>
        <v>109.5</v>
      </c>
      <c r="N66" s="5">
        <f>AVERAGE(All_India_Index_Upto_April23__1___1[[#This Row],[Miscellaneous]])</f>
        <v>113.7</v>
      </c>
      <c r="O66" s="5">
        <f>AVERAGE(All_India_Index_Upto_April23__1___1[[#This Row],[General index]])</f>
        <v>120.1</v>
      </c>
      <c r="P66" s="2">
        <f>AVERAGE(E66:N66)</f>
        <v>115.82410256410256</v>
      </c>
      <c r="R66" s="10">
        <f t="shared" si="2"/>
        <v>105.33877630536135</v>
      </c>
      <c r="S66" s="10">
        <f t="shared" si="3"/>
        <v>104.29608114869143</v>
      </c>
      <c r="T66" s="10">
        <f t="shared" si="4"/>
        <v>103.02979318772498</v>
      </c>
      <c r="U66" s="10">
        <f t="shared" si="5"/>
        <v>98.684123139862834</v>
      </c>
      <c r="V66" s="10">
        <f t="shared" si="6"/>
        <v>99.202150032985486</v>
      </c>
      <c r="W66" s="10">
        <f t="shared" si="7"/>
        <v>96.698353382892719</v>
      </c>
      <c r="X66" s="10">
        <f t="shared" si="8"/>
        <v>97.648069353617544</v>
      </c>
      <c r="Y66" s="10">
        <f t="shared" si="9"/>
        <v>102.39664920724174</v>
      </c>
      <c r="Z66" s="10">
        <f t="shared" si="10"/>
        <v>94.539907994881716</v>
      </c>
    </row>
    <row r="67" spans="1:26" hidden="1" x14ac:dyDescent="0.3">
      <c r="A67" s="5" t="s">
        <v>30</v>
      </c>
      <c r="B67" s="5">
        <v>2014</v>
      </c>
      <c r="C67" s="5" t="s">
        <v>49</v>
      </c>
      <c r="D67" s="21">
        <f t="shared" si="0"/>
        <v>41913</v>
      </c>
      <c r="E67" s="4">
        <f>AVERAGE(All_India_Index_Upto_April23__1___1[[#This Row],[Cereals and products]:[Food and beverages]])</f>
        <v>121.63076923076922</v>
      </c>
      <c r="F67" s="5">
        <f>AVERAGE(All_India_Index_Upto_April23__1___1[[#This Row],[Pan, tobacco and intoxicants]])</f>
        <v>120</v>
      </c>
      <c r="G67" s="4">
        <f>AVERAGE(All_India_Index_Upto_April23__1___1[[#This Row],[Clothing]:[Clothing and footwear]])</f>
        <v>121.76666666666667</v>
      </c>
      <c r="H67" s="5">
        <f>AVERAGE(All_India_Index_Upto_April23__1___1[[#This Row],[Housing]:[Fuel and light]])</f>
        <v>116.4</v>
      </c>
      <c r="I67" s="5">
        <f>AVERAGE(All_India_Index_Upto_April23__1___1[[#This Row],[Household goods and services]:[Health]])</f>
        <v>116.4</v>
      </c>
      <c r="J67" s="5">
        <f>AVERAGE(All_India_Index_Upto_April23__1___1[[#This Row],[Transport and communication]])</f>
        <v>112.6</v>
      </c>
      <c r="K67" s="5">
        <f>AVERAGE(All_India_Index_Upto_April23__1___1[[#This Row],[Recreation and amusement]])</f>
        <v>113</v>
      </c>
      <c r="L67" s="5">
        <f>AVERAGE(All_India_Index_Upto_April23__1___1[[#This Row],[Education]])</f>
        <v>116.9</v>
      </c>
      <c r="M67" s="5">
        <f>AVERAGE(All_India_Index_Upto_April23__1___1[[#This Row],[Personal care and effects]])</f>
        <v>109.3</v>
      </c>
      <c r="N67" s="5">
        <f>AVERAGE(All_India_Index_Upto_April23__1___1[[#This Row],[Miscellaneous]])</f>
        <v>114</v>
      </c>
      <c r="O67" s="5">
        <f>AVERAGE(All_India_Index_Upto_April23__1___1[[#This Row],[General index]])</f>
        <v>121</v>
      </c>
      <c r="P67" s="2">
        <f t="shared" si="1"/>
        <v>1047.9974358974359</v>
      </c>
      <c r="R67" s="10">
        <f t="shared" si="2"/>
        <v>11.606017826428424</v>
      </c>
      <c r="S67" s="10">
        <f t="shared" si="3"/>
        <v>11.450409694680207</v>
      </c>
      <c r="T67" s="10">
        <f t="shared" si="4"/>
        <v>11.618985170740777</v>
      </c>
      <c r="U67" s="10">
        <f t="shared" si="5"/>
        <v>11.106897403839803</v>
      </c>
      <c r="V67" s="10">
        <f t="shared" si="6"/>
        <v>11.106897403839803</v>
      </c>
      <c r="W67" s="10">
        <f t="shared" si="7"/>
        <v>10.744301096841594</v>
      </c>
      <c r="X67" s="10">
        <f t="shared" si="8"/>
        <v>10.782469129157196</v>
      </c>
      <c r="Y67" s="10">
        <f t="shared" si="9"/>
        <v>11.154607444234303</v>
      </c>
      <c r="Z67" s="10">
        <f t="shared" si="10"/>
        <v>10.429414830237889</v>
      </c>
    </row>
    <row r="68" spans="1:26" hidden="1" x14ac:dyDescent="0.3">
      <c r="A68" s="6" t="s">
        <v>32</v>
      </c>
      <c r="B68" s="6">
        <v>2014</v>
      </c>
      <c r="C68" s="6" t="s">
        <v>49</v>
      </c>
      <c r="D68" s="21">
        <f t="shared" si="0"/>
        <v>41913</v>
      </c>
      <c r="E68" s="4">
        <f>AVERAGE(All_India_Index_Upto_April23__1___1[[#This Row],[Cereals and products]:[Food and beverages]])</f>
        <v>122.11538461538461</v>
      </c>
      <c r="F68" s="5">
        <f>AVERAGE(All_India_Index_Upto_April23__1___1[[#This Row],[Pan, tobacco and intoxicants]])</f>
        <v>124.3</v>
      </c>
      <c r="G68" s="4">
        <f>AVERAGE(All_India_Index_Upto_April23__1___1[[#This Row],[Clothing]:[Clothing and footwear]])</f>
        <v>117.8</v>
      </c>
      <c r="H68" s="5">
        <f>AVERAGE(All_India_Index_Upto_April23__1___1[[#This Row],[Housing]:[Fuel and light]])</f>
        <v>112</v>
      </c>
      <c r="I68" s="5">
        <f>AVERAGE(All_India_Index_Upto_April23__1___1[[#This Row],[Household goods and services]:[Health]])</f>
        <v>114.19999999999999</v>
      </c>
      <c r="J68" s="5">
        <f>AVERAGE(All_India_Index_Upto_April23__1___1[[#This Row],[Transport and communication]])</f>
        <v>111</v>
      </c>
      <c r="K68" s="5">
        <f>AVERAGE(All_India_Index_Upto_April23__1___1[[#This Row],[Recreation and amusement]])</f>
        <v>113.6</v>
      </c>
      <c r="L68" s="5">
        <f>AVERAGE(All_India_Index_Upto_April23__1___1[[#This Row],[Education]])</f>
        <v>120.2</v>
      </c>
      <c r="M68" s="5">
        <f>AVERAGE(All_India_Index_Upto_April23__1___1[[#This Row],[Personal care and effects]])</f>
        <v>110.1</v>
      </c>
      <c r="N68" s="5">
        <f>AVERAGE(All_India_Index_Upto_April23__1___1[[#This Row],[Miscellaneous]])</f>
        <v>113.7</v>
      </c>
      <c r="O68" s="5">
        <f>AVERAGE(All_India_Index_Upto_April23__1___1[[#This Row],[General index]])</f>
        <v>119.1</v>
      </c>
      <c r="P68" s="2">
        <f t="shared" si="1"/>
        <v>1045.3153846153846</v>
      </c>
      <c r="R68" s="10">
        <f t="shared" si="2"/>
        <v>11.682157022908065</v>
      </c>
      <c r="S68" s="10">
        <f t="shared" si="3"/>
        <v>11.89114805248324</v>
      </c>
      <c r="T68" s="10">
        <f t="shared" si="4"/>
        <v>11.269326151106402</v>
      </c>
      <c r="U68" s="10">
        <f t="shared" si="5"/>
        <v>10.714469685262454</v>
      </c>
      <c r="V68" s="10">
        <f t="shared" si="6"/>
        <v>10.924932482651537</v>
      </c>
      <c r="W68" s="10">
        <f t="shared" si="7"/>
        <v>10.618804777358324</v>
      </c>
      <c r="X68" s="10">
        <f t="shared" si="8"/>
        <v>10.867533537909059</v>
      </c>
      <c r="Y68" s="10">
        <f t="shared" si="9"/>
        <v>11.49892193007631</v>
      </c>
      <c r="Z68" s="10">
        <f t="shared" si="10"/>
        <v>10.532706360244608</v>
      </c>
    </row>
    <row r="69" spans="1:26" hidden="1" x14ac:dyDescent="0.3">
      <c r="A69" s="5" t="s">
        <v>34</v>
      </c>
      <c r="B69" s="5">
        <v>2014</v>
      </c>
      <c r="C69" s="5" t="s">
        <v>49</v>
      </c>
      <c r="D69" s="21">
        <f t="shared" ref="D69:D132" si="20">DATE(B69,MONTH(1&amp;C69),1)</f>
        <v>41913</v>
      </c>
      <c r="E69" s="4">
        <f>AVERAGE(All_India_Index_Upto_April23__1___1[[#This Row],[Cereals and products]:[Food and beverages]])</f>
        <v>121.74615384615385</v>
      </c>
      <c r="F69" s="5">
        <f>AVERAGE(All_India_Index_Upto_April23__1___1[[#This Row],[Pan, tobacco and intoxicants]])</f>
        <v>121.1</v>
      </c>
      <c r="G69" s="4">
        <f>AVERAGE(All_India_Index_Upto_April23__1___1[[#This Row],[Clothing]:[Clothing and footwear]])</f>
        <v>120.2</v>
      </c>
      <c r="H69" s="5">
        <f>AVERAGE(All_India_Index_Upto_April23__1___1[[#This Row],[Housing]:[Fuel and light]])</f>
        <v>114.7</v>
      </c>
      <c r="I69" s="5">
        <f>AVERAGE(All_India_Index_Upto_April23__1___1[[#This Row],[Household goods and services]:[Health]])</f>
        <v>115.5</v>
      </c>
      <c r="J69" s="5">
        <f>AVERAGE(All_India_Index_Upto_April23__1___1[[#This Row],[Transport and communication]])</f>
        <v>111.8</v>
      </c>
      <c r="K69" s="5">
        <f>AVERAGE(All_India_Index_Upto_April23__1___1[[#This Row],[Recreation and amusement]])</f>
        <v>113.3</v>
      </c>
      <c r="L69" s="5">
        <f>AVERAGE(All_India_Index_Upto_April23__1___1[[#This Row],[Education]])</f>
        <v>118.8</v>
      </c>
      <c r="M69" s="5">
        <f>AVERAGE(All_India_Index_Upto_April23__1___1[[#This Row],[Personal care and effects]])</f>
        <v>109.6</v>
      </c>
      <c r="N69" s="5">
        <f>AVERAGE(All_India_Index_Upto_April23__1___1[[#This Row],[Miscellaneous]])</f>
        <v>113.9</v>
      </c>
      <c r="O69" s="5">
        <f>AVERAGE(All_India_Index_Upto_April23__1___1[[#This Row],[General index]])</f>
        <v>120.1</v>
      </c>
      <c r="P69" s="2">
        <f>AVERAGE(E69:N69)</f>
        <v>116.06461538461538</v>
      </c>
      <c r="R69" s="10">
        <f t="shared" ref="R69:R132" si="21">E69/P69*100</f>
        <v>104.89515124201374</v>
      </c>
      <c r="S69" s="10">
        <f t="shared" ref="S69:S132" si="22">F69/P69*100</f>
        <v>104.33843217306008</v>
      </c>
      <c r="T69" s="10">
        <f t="shared" ref="T69:T132" si="23">G69/P69*100</f>
        <v>103.56300204130326</v>
      </c>
      <c r="U69" s="10">
        <f t="shared" ref="U69:U132" si="24">H69/P69*100</f>
        <v>98.824262347233642</v>
      </c>
      <c r="V69" s="10">
        <f t="shared" ref="V69:V132" si="25">I69/P69*100</f>
        <v>99.513533575461949</v>
      </c>
      <c r="W69" s="10">
        <f t="shared" ref="W69:W132" si="26">J69/P69*100</f>
        <v>96.325654144906025</v>
      </c>
      <c r="X69" s="10">
        <f t="shared" ref="X69:X132" si="27">K69/P69*100</f>
        <v>97.618037697834097</v>
      </c>
      <c r="Y69" s="10">
        <f t="shared" ref="Y69:Y132" si="28">L69/P69*100</f>
        <v>102.35677739190372</v>
      </c>
      <c r="Z69" s="10">
        <f t="shared" ref="Z69:Z132" si="29">M69/P69*100</f>
        <v>94.430158267278173</v>
      </c>
    </row>
    <row r="70" spans="1:26" hidden="1" x14ac:dyDescent="0.3">
      <c r="A70" s="6" t="s">
        <v>30</v>
      </c>
      <c r="B70" s="6">
        <v>2014</v>
      </c>
      <c r="C70" s="6" t="s">
        <v>52</v>
      </c>
      <c r="D70" s="21">
        <f t="shared" si="20"/>
        <v>41944</v>
      </c>
      <c r="E70" s="4">
        <f>AVERAGE(All_India_Index_Upto_April23__1___1[[#This Row],[Cereals and products]:[Food and beverages]])</f>
        <v>121.69230769230769</v>
      </c>
      <c r="F70" s="5">
        <f>AVERAGE(All_India_Index_Upto_April23__1___1[[#This Row],[Pan, tobacco and intoxicants]])</f>
        <v>120.8</v>
      </c>
      <c r="G70" s="4">
        <f>AVERAGE(All_India_Index_Upto_April23__1___1[[#This Row],[Clothing]:[Clothing and footwear]])</f>
        <v>122.23333333333335</v>
      </c>
      <c r="H70" s="5">
        <f>AVERAGE(All_India_Index_Upto_April23__1___1[[#This Row],[Housing]:[Fuel and light]])</f>
        <v>117.3</v>
      </c>
      <c r="I70" s="5">
        <f>AVERAGE(All_India_Index_Upto_April23__1___1[[#This Row],[Household goods and services]:[Health]])</f>
        <v>117</v>
      </c>
      <c r="J70" s="5">
        <f>AVERAGE(All_India_Index_Upto_April23__1___1[[#This Row],[Transport and communication]])</f>
        <v>112</v>
      </c>
      <c r="K70" s="5">
        <f>AVERAGE(All_India_Index_Upto_April23__1___1[[#This Row],[Recreation and amusement]])</f>
        <v>113.3</v>
      </c>
      <c r="L70" s="5">
        <f>AVERAGE(All_India_Index_Upto_April23__1___1[[#This Row],[Education]])</f>
        <v>117.2</v>
      </c>
      <c r="M70" s="5">
        <f>AVERAGE(All_India_Index_Upto_April23__1___1[[#This Row],[Personal care and effects]])</f>
        <v>108.8</v>
      </c>
      <c r="N70" s="5">
        <f>AVERAGE(All_India_Index_Upto_April23__1___1[[#This Row],[Miscellaneous]])</f>
        <v>114.1</v>
      </c>
      <c r="O70" s="5">
        <f>AVERAGE(All_India_Index_Upto_April23__1___1[[#This Row],[General index]])</f>
        <v>121.1</v>
      </c>
      <c r="P70" s="2">
        <f t="shared" ref="P70:P131" si="30">SUM(E70:M70)</f>
        <v>1050.3256410256411</v>
      </c>
      <c r="R70" s="10">
        <f t="shared" si="21"/>
        <v>11.586150327004811</v>
      </c>
      <c r="S70" s="10">
        <f t="shared" si="22"/>
        <v>11.501194989588088</v>
      </c>
      <c r="T70" s="10">
        <f t="shared" si="23"/>
        <v>11.637660603427022</v>
      </c>
      <c r="U70" s="10">
        <f t="shared" si="24"/>
        <v>11.167965002306977</v>
      </c>
      <c r="V70" s="10">
        <f t="shared" si="25"/>
        <v>11.139402431968595</v>
      </c>
      <c r="W70" s="10">
        <f t="shared" si="26"/>
        <v>10.66335959299558</v>
      </c>
      <c r="X70" s="10">
        <f t="shared" si="27"/>
        <v>10.787130731128562</v>
      </c>
      <c r="Y70" s="10">
        <f t="shared" si="28"/>
        <v>11.158444145527517</v>
      </c>
      <c r="Z70" s="10">
        <f t="shared" si="29"/>
        <v>10.358692176052847</v>
      </c>
    </row>
    <row r="71" spans="1:26" hidden="1" x14ac:dyDescent="0.3">
      <c r="A71" s="5" t="s">
        <v>32</v>
      </c>
      <c r="B71" s="5">
        <v>2014</v>
      </c>
      <c r="C71" s="5" t="s">
        <v>52</v>
      </c>
      <c r="D71" s="21">
        <f t="shared" si="20"/>
        <v>41944</v>
      </c>
      <c r="E71" s="4">
        <f>AVERAGE(All_India_Index_Upto_April23__1___1[[#This Row],[Cereals and products]:[Food and beverages]])</f>
        <v>122.13846153846154</v>
      </c>
      <c r="F71" s="5">
        <f>AVERAGE(All_India_Index_Upto_April23__1___1[[#This Row],[Pan, tobacco and intoxicants]])</f>
        <v>125.8</v>
      </c>
      <c r="G71" s="4">
        <f>AVERAGE(All_India_Index_Upto_April23__1___1[[#This Row],[Clothing]:[Clothing and footwear]])</f>
        <v>118.39999999999999</v>
      </c>
      <c r="H71" s="5">
        <f>AVERAGE(All_India_Index_Upto_April23__1___1[[#This Row],[Housing]:[Fuel and light]])</f>
        <v>112.6</v>
      </c>
      <c r="I71" s="5">
        <f>AVERAGE(All_India_Index_Upto_April23__1___1[[#This Row],[Household goods and services]:[Health]])</f>
        <v>114.7</v>
      </c>
      <c r="J71" s="5">
        <f>AVERAGE(All_India_Index_Upto_April23__1___1[[#This Row],[Transport and communication]])</f>
        <v>109.7</v>
      </c>
      <c r="K71" s="5">
        <f>AVERAGE(All_India_Index_Upto_April23__1___1[[#This Row],[Recreation and amusement]])</f>
        <v>114</v>
      </c>
      <c r="L71" s="5">
        <f>AVERAGE(All_India_Index_Upto_April23__1___1[[#This Row],[Education]])</f>
        <v>120.3</v>
      </c>
      <c r="M71" s="5">
        <f>AVERAGE(All_India_Index_Upto_April23__1___1[[#This Row],[Personal care and effects]])</f>
        <v>109.6</v>
      </c>
      <c r="N71" s="5">
        <f>AVERAGE(All_India_Index_Upto_April23__1___1[[#This Row],[Miscellaneous]])</f>
        <v>113.4</v>
      </c>
      <c r="O71" s="5">
        <f>AVERAGE(All_India_Index_Upto_April23__1___1[[#This Row],[General index]])</f>
        <v>119</v>
      </c>
      <c r="P71" s="2">
        <f t="shared" si="30"/>
        <v>1047.2384615384615</v>
      </c>
      <c r="R71" s="10">
        <f t="shared" si="21"/>
        <v>11.662908308298016</v>
      </c>
      <c r="S71" s="10">
        <f t="shared" si="22"/>
        <v>12.012545816469689</v>
      </c>
      <c r="T71" s="10">
        <f t="shared" si="23"/>
        <v>11.305925474324413</v>
      </c>
      <c r="U71" s="10">
        <f t="shared" si="24"/>
        <v>10.752087908859199</v>
      </c>
      <c r="V71" s="10">
        <f t="shared" si="25"/>
        <v>10.952615303251777</v>
      </c>
      <c r="W71" s="10">
        <f t="shared" si="26"/>
        <v>10.475169126126591</v>
      </c>
      <c r="X71" s="10">
        <f t="shared" si="27"/>
        <v>10.885772838454249</v>
      </c>
      <c r="Y71" s="10">
        <f t="shared" si="28"/>
        <v>11.487355021631984</v>
      </c>
      <c r="Z71" s="10">
        <f t="shared" si="29"/>
        <v>10.465620202584086</v>
      </c>
    </row>
    <row r="72" spans="1:26" hidden="1" x14ac:dyDescent="0.3">
      <c r="A72" s="6" t="s">
        <v>34</v>
      </c>
      <c r="B72" s="6">
        <v>2014</v>
      </c>
      <c r="C72" s="6" t="s">
        <v>52</v>
      </c>
      <c r="D72" s="21">
        <f t="shared" si="20"/>
        <v>41944</v>
      </c>
      <c r="E72" s="4">
        <f>AVERAGE(All_India_Index_Upto_April23__1___1[[#This Row],[Cereals and products]:[Food and beverages]])</f>
        <v>121.78461538461539</v>
      </c>
      <c r="F72" s="5">
        <f>AVERAGE(All_India_Index_Upto_April23__1___1[[#This Row],[Pan, tobacco and intoxicants]])</f>
        <v>122.1</v>
      </c>
      <c r="G72" s="4">
        <f>AVERAGE(All_India_Index_Upto_April23__1___1[[#This Row],[Clothing]:[Clothing and footwear]])</f>
        <v>120.7</v>
      </c>
      <c r="H72" s="5">
        <f>AVERAGE(All_India_Index_Upto_April23__1___1[[#This Row],[Housing]:[Fuel and light]])</f>
        <v>115.5</v>
      </c>
      <c r="I72" s="5">
        <f>AVERAGE(All_India_Index_Upto_April23__1___1[[#This Row],[Household goods and services]:[Health]])</f>
        <v>116.05</v>
      </c>
      <c r="J72" s="5">
        <f>AVERAGE(All_India_Index_Upto_April23__1___1[[#This Row],[Transport and communication]])</f>
        <v>110.8</v>
      </c>
      <c r="K72" s="5">
        <f>AVERAGE(All_India_Index_Upto_April23__1___1[[#This Row],[Recreation and amusement]])</f>
        <v>113.7</v>
      </c>
      <c r="L72" s="5">
        <f>AVERAGE(All_India_Index_Upto_April23__1___1[[#This Row],[Education]])</f>
        <v>119</v>
      </c>
      <c r="M72" s="5">
        <f>AVERAGE(All_India_Index_Upto_April23__1___1[[#This Row],[Personal care and effects]])</f>
        <v>109.1</v>
      </c>
      <c r="N72" s="5">
        <f>AVERAGE(All_India_Index_Upto_April23__1___1[[#This Row],[Miscellaneous]])</f>
        <v>113.8</v>
      </c>
      <c r="O72" s="5">
        <f>AVERAGE(All_India_Index_Upto_April23__1___1[[#This Row],[General index]])</f>
        <v>120.1</v>
      </c>
      <c r="P72" s="2">
        <f>AVERAGE(E72:N72)</f>
        <v>116.25346153846154</v>
      </c>
      <c r="R72" s="10">
        <f t="shared" si="21"/>
        <v>104.75784013048413</v>
      </c>
      <c r="S72" s="10">
        <f t="shared" si="22"/>
        <v>105.02913064623385</v>
      </c>
      <c r="T72" s="10">
        <f t="shared" si="23"/>
        <v>103.82486542997893</v>
      </c>
      <c r="U72" s="10">
        <f t="shared" si="24"/>
        <v>99.351880341032029</v>
      </c>
      <c r="V72" s="10">
        <f t="shared" si="25"/>
        <v>99.824984533132181</v>
      </c>
      <c r="W72" s="10">
        <f t="shared" si="26"/>
        <v>95.308989972176178</v>
      </c>
      <c r="X72" s="10">
        <f t="shared" si="27"/>
        <v>97.803539348704263</v>
      </c>
      <c r="Y72" s="10">
        <f t="shared" si="28"/>
        <v>102.36254338166937</v>
      </c>
      <c r="Z72" s="10">
        <f t="shared" si="29"/>
        <v>93.846667923866605</v>
      </c>
    </row>
    <row r="73" spans="1:26" hidden="1" x14ac:dyDescent="0.3">
      <c r="A73" s="5" t="s">
        <v>30</v>
      </c>
      <c r="B73" s="5">
        <v>2014</v>
      </c>
      <c r="C73" s="5" t="s">
        <v>54</v>
      </c>
      <c r="D73" s="21">
        <f t="shared" si="20"/>
        <v>41974</v>
      </c>
      <c r="E73" s="4">
        <f>AVERAGE(All_India_Index_Upto_April23__1___1[[#This Row],[Cereals and products]:[Food and beverages]])</f>
        <v>120.73846153846154</v>
      </c>
      <c r="F73" s="5">
        <f>AVERAGE(All_India_Index_Upto_April23__1___1[[#This Row],[Pan, tobacco and intoxicants]])</f>
        <v>121.7</v>
      </c>
      <c r="G73" s="4">
        <f>AVERAGE(All_India_Index_Upto_April23__1___1[[#This Row],[Clothing]:[Clothing and footwear]])</f>
        <v>122.56666666666666</v>
      </c>
      <c r="H73" s="5">
        <f>AVERAGE(All_India_Index_Upto_April23__1___1[[#This Row],[Housing]:[Fuel and light]])</f>
        <v>117.4</v>
      </c>
      <c r="I73" s="5">
        <f>AVERAGE(All_India_Index_Upto_April23__1___1[[#This Row],[Household goods and services]:[Health]])</f>
        <v>117.2</v>
      </c>
      <c r="J73" s="5">
        <f>AVERAGE(All_India_Index_Upto_April23__1___1[[#This Row],[Transport and communication]])</f>
        <v>111.5</v>
      </c>
      <c r="K73" s="5">
        <f>AVERAGE(All_India_Index_Upto_April23__1___1[[#This Row],[Recreation and amusement]])</f>
        <v>113.3</v>
      </c>
      <c r="L73" s="5">
        <f>AVERAGE(All_India_Index_Upto_April23__1___1[[#This Row],[Education]])</f>
        <v>117.7</v>
      </c>
      <c r="M73" s="5">
        <f>AVERAGE(All_India_Index_Upto_April23__1___1[[#This Row],[Personal care and effects]])</f>
        <v>109.4</v>
      </c>
      <c r="N73" s="5">
        <f>AVERAGE(All_India_Index_Upto_April23__1___1[[#This Row],[Miscellaneous]])</f>
        <v>114.2</v>
      </c>
      <c r="O73" s="5">
        <f>AVERAGE(All_India_Index_Upto_April23__1___1[[#This Row],[General index]])</f>
        <v>120.3</v>
      </c>
      <c r="P73" s="2">
        <f t="shared" si="30"/>
        <v>1051.5051282051284</v>
      </c>
      <c r="R73" s="10">
        <f t="shared" si="21"/>
        <v>11.482441530699582</v>
      </c>
      <c r="S73" s="10">
        <f t="shared" si="22"/>
        <v>11.573885541360735</v>
      </c>
      <c r="T73" s="10">
        <f t="shared" si="23"/>
        <v>11.656307076303317</v>
      </c>
      <c r="U73" s="10">
        <f t="shared" si="24"/>
        <v>11.164947925684061</v>
      </c>
      <c r="V73" s="10">
        <f t="shared" si="25"/>
        <v>11.14592757146654</v>
      </c>
      <c r="W73" s="10">
        <f t="shared" si="26"/>
        <v>10.60384747626723</v>
      </c>
      <c r="X73" s="10">
        <f t="shared" si="27"/>
        <v>10.775030664224907</v>
      </c>
      <c r="Y73" s="10">
        <f t="shared" si="28"/>
        <v>11.19347845701034</v>
      </c>
      <c r="Z73" s="10">
        <f t="shared" si="29"/>
        <v>10.404133756983274</v>
      </c>
    </row>
    <row r="74" spans="1:26" hidden="1" x14ac:dyDescent="0.3">
      <c r="A74" s="6" t="s">
        <v>32</v>
      </c>
      <c r="B74" s="6">
        <v>2014</v>
      </c>
      <c r="C74" s="6" t="s">
        <v>54</v>
      </c>
      <c r="D74" s="21">
        <f t="shared" si="20"/>
        <v>41974</v>
      </c>
      <c r="E74" s="4">
        <f>AVERAGE(All_India_Index_Upto_April23__1___1[[#This Row],[Cereals and products]:[Food and beverages]])</f>
        <v>121.32307692307691</v>
      </c>
      <c r="F74" s="5">
        <f>AVERAGE(All_India_Index_Upto_April23__1___1[[#This Row],[Pan, tobacco and intoxicants]])</f>
        <v>126.4</v>
      </c>
      <c r="G74" s="4">
        <f>AVERAGE(All_India_Index_Upto_April23__1___1[[#This Row],[Clothing]:[Clothing and footwear]])</f>
        <v>118.83333333333333</v>
      </c>
      <c r="H74" s="5">
        <f>AVERAGE(All_India_Index_Upto_April23__1___1[[#This Row],[Housing]:[Fuel and light]])</f>
        <v>113</v>
      </c>
      <c r="I74" s="5">
        <f>AVERAGE(All_India_Index_Upto_April23__1___1[[#This Row],[Household goods and services]:[Health]])</f>
        <v>115</v>
      </c>
      <c r="J74" s="5">
        <f>AVERAGE(All_India_Index_Upto_April23__1___1[[#This Row],[Transport and communication]])</f>
        <v>108.8</v>
      </c>
      <c r="K74" s="5">
        <f>AVERAGE(All_India_Index_Upto_April23__1___1[[#This Row],[Recreation and amusement]])</f>
        <v>114.3</v>
      </c>
      <c r="L74" s="5">
        <f>AVERAGE(All_India_Index_Upto_April23__1___1[[#This Row],[Education]])</f>
        <v>120.7</v>
      </c>
      <c r="M74" s="5">
        <f>AVERAGE(All_India_Index_Upto_April23__1___1[[#This Row],[Personal care and effects]])</f>
        <v>110.4</v>
      </c>
      <c r="N74" s="5">
        <f>AVERAGE(All_India_Index_Upto_April23__1___1[[#This Row],[Miscellaneous]])</f>
        <v>113.4</v>
      </c>
      <c r="O74" s="5">
        <f>AVERAGE(All_India_Index_Upto_April23__1___1[[#This Row],[General index]])</f>
        <v>118.4</v>
      </c>
      <c r="P74" s="2">
        <f t="shared" si="30"/>
        <v>1048.7564102564102</v>
      </c>
      <c r="R74" s="10">
        <f t="shared" si="21"/>
        <v>11.568279891935504</v>
      </c>
      <c r="S74" s="10">
        <f t="shared" si="22"/>
        <v>12.052369717492025</v>
      </c>
      <c r="T74" s="10">
        <f t="shared" si="23"/>
        <v>11.330880285564101</v>
      </c>
      <c r="U74" s="10">
        <f t="shared" si="24"/>
        <v>10.774665965795876</v>
      </c>
      <c r="V74" s="10">
        <f t="shared" si="25"/>
        <v>10.965368018287839</v>
      </c>
      <c r="W74" s="10">
        <f t="shared" si="26"/>
        <v>10.374191655562754</v>
      </c>
      <c r="X74" s="10">
        <f t="shared" si="27"/>
        <v>10.898622299915651</v>
      </c>
      <c r="Y74" s="10">
        <f t="shared" si="28"/>
        <v>11.508868867889932</v>
      </c>
      <c r="Z74" s="10">
        <f t="shared" si="29"/>
        <v>10.526753297556326</v>
      </c>
    </row>
    <row r="75" spans="1:26" hidden="1" x14ac:dyDescent="0.3">
      <c r="A75" s="5" t="s">
        <v>34</v>
      </c>
      <c r="B75" s="5">
        <v>2014</v>
      </c>
      <c r="C75" s="5" t="s">
        <v>54</v>
      </c>
      <c r="D75" s="21">
        <f t="shared" si="20"/>
        <v>41974</v>
      </c>
      <c r="E75" s="4">
        <f>AVERAGE(All_India_Index_Upto_April23__1___1[[#This Row],[Cereals and products]:[Food and beverages]])</f>
        <v>120.89999999999999</v>
      </c>
      <c r="F75" s="5">
        <f>AVERAGE(All_India_Index_Upto_April23__1___1[[#This Row],[Pan, tobacco and intoxicants]])</f>
        <v>123</v>
      </c>
      <c r="G75" s="4">
        <f>AVERAGE(All_India_Index_Upto_April23__1___1[[#This Row],[Clothing]:[Clothing and footwear]])</f>
        <v>121.06666666666666</v>
      </c>
      <c r="H75" s="5">
        <f>AVERAGE(All_India_Index_Upto_April23__1___1[[#This Row],[Housing]:[Fuel and light]])</f>
        <v>115.7</v>
      </c>
      <c r="I75" s="5">
        <f>AVERAGE(All_India_Index_Upto_April23__1___1[[#This Row],[Household goods and services]:[Health]])</f>
        <v>116.3</v>
      </c>
      <c r="J75" s="5">
        <f>AVERAGE(All_India_Index_Upto_April23__1___1[[#This Row],[Transport and communication]])</f>
        <v>110.1</v>
      </c>
      <c r="K75" s="5">
        <f>AVERAGE(All_India_Index_Upto_April23__1___1[[#This Row],[Recreation and amusement]])</f>
        <v>113.9</v>
      </c>
      <c r="L75" s="5">
        <f>AVERAGE(All_India_Index_Upto_April23__1___1[[#This Row],[Education]])</f>
        <v>119.5</v>
      </c>
      <c r="M75" s="5">
        <f>AVERAGE(All_India_Index_Upto_April23__1___1[[#This Row],[Personal care and effects]])</f>
        <v>109.8</v>
      </c>
      <c r="N75" s="5">
        <f>AVERAGE(All_India_Index_Upto_April23__1___1[[#This Row],[Miscellaneous]])</f>
        <v>113.8</v>
      </c>
      <c r="O75" s="5">
        <f>AVERAGE(All_India_Index_Upto_April23__1___1[[#This Row],[General index]])</f>
        <v>119.4</v>
      </c>
      <c r="P75" s="2">
        <f>AVERAGE(E75:N75)</f>
        <v>116.40666666666667</v>
      </c>
      <c r="R75" s="10">
        <f t="shared" si="21"/>
        <v>103.8600309260638</v>
      </c>
      <c r="S75" s="10">
        <f t="shared" si="22"/>
        <v>105.66405131435772</v>
      </c>
      <c r="T75" s="10">
        <f t="shared" si="23"/>
        <v>104.00320714735696</v>
      </c>
      <c r="U75" s="10">
        <f t="shared" si="24"/>
        <v>99.392932821716968</v>
      </c>
      <c r="V75" s="10">
        <f t="shared" si="25"/>
        <v>99.908367218372376</v>
      </c>
      <c r="W75" s="10">
        <f t="shared" si="26"/>
        <v>94.582211786266541</v>
      </c>
      <c r="X75" s="10">
        <f t="shared" si="27"/>
        <v>97.846629631750758</v>
      </c>
      <c r="Y75" s="10">
        <f t="shared" si="28"/>
        <v>102.65735066720119</v>
      </c>
      <c r="Z75" s="10">
        <f t="shared" si="29"/>
        <v>94.32449458793883</v>
      </c>
    </row>
    <row r="76" spans="1:26" hidden="1" x14ac:dyDescent="0.3">
      <c r="A76" s="6" t="s">
        <v>30</v>
      </c>
      <c r="B76" s="6">
        <v>2015</v>
      </c>
      <c r="C76" s="6" t="s">
        <v>31</v>
      </c>
      <c r="D76" s="21">
        <f t="shared" si="20"/>
        <v>42005</v>
      </c>
      <c r="E76" s="4">
        <f>AVERAGE(All_India_Index_Upto_April23__1___1[[#This Row],[Cereals and products]:[Food and beverages]])</f>
        <v>120.62307692307692</v>
      </c>
      <c r="F76" s="5">
        <f>AVERAGE(All_India_Index_Upto_April23__1___1[[#This Row],[Pan, tobacco and intoxicants]])</f>
        <v>122.7</v>
      </c>
      <c r="G76" s="4">
        <f>AVERAGE(All_India_Index_Upto_April23__1___1[[#This Row],[Clothing]:[Clothing and footwear]])</f>
        <v>123.33333333333333</v>
      </c>
      <c r="H76" s="5">
        <f>AVERAGE(All_India_Index_Upto_April23__1___1[[#This Row],[Housing]:[Fuel and light]])</f>
        <v>118.4</v>
      </c>
      <c r="I76" s="5">
        <f>AVERAGE(All_India_Index_Upto_April23__1___1[[#This Row],[Household goods and services]:[Health]])</f>
        <v>117.75</v>
      </c>
      <c r="J76" s="5">
        <f>AVERAGE(All_India_Index_Upto_April23__1___1[[#This Row],[Transport and communication]])</f>
        <v>111</v>
      </c>
      <c r="K76" s="5">
        <f>AVERAGE(All_India_Index_Upto_April23__1___1[[#This Row],[Recreation and amusement]])</f>
        <v>114</v>
      </c>
      <c r="L76" s="5">
        <f>AVERAGE(All_India_Index_Upto_April23__1___1[[#This Row],[Education]])</f>
        <v>118.2</v>
      </c>
      <c r="M76" s="5">
        <f>AVERAGE(All_India_Index_Upto_April23__1___1[[#This Row],[Personal care and effects]])</f>
        <v>110.2</v>
      </c>
      <c r="N76" s="5">
        <f>AVERAGE(All_India_Index_Upto_April23__1___1[[#This Row],[Miscellaneous]])</f>
        <v>114.5</v>
      </c>
      <c r="O76" s="5">
        <f>AVERAGE(All_India_Index_Upto_April23__1___1[[#This Row],[General index]])</f>
        <v>120.3</v>
      </c>
      <c r="P76" s="2">
        <f t="shared" si="30"/>
        <v>1056.2064102564102</v>
      </c>
      <c r="R76" s="10">
        <f t="shared" si="21"/>
        <v>11.42040757864685</v>
      </c>
      <c r="S76" s="10">
        <f t="shared" si="22"/>
        <v>11.617047464255846</v>
      </c>
      <c r="T76" s="10">
        <f t="shared" si="23"/>
        <v>11.677010491102045</v>
      </c>
      <c r="U76" s="10">
        <f t="shared" si="24"/>
        <v>11.209930071457965</v>
      </c>
      <c r="V76" s="10">
        <f t="shared" si="25"/>
        <v>11.148389070221075</v>
      </c>
      <c r="W76" s="10">
        <f t="shared" si="26"/>
        <v>10.509309441991842</v>
      </c>
      <c r="X76" s="10">
        <f t="shared" si="27"/>
        <v>10.793344832315945</v>
      </c>
      <c r="Y76" s="10">
        <f t="shared" si="28"/>
        <v>11.190994378769691</v>
      </c>
      <c r="Z76" s="10">
        <f t="shared" si="29"/>
        <v>10.433566671238747</v>
      </c>
    </row>
    <row r="77" spans="1:26" hidden="1" x14ac:dyDescent="0.3">
      <c r="A77" s="5" t="s">
        <v>32</v>
      </c>
      <c r="B77" s="5">
        <v>2015</v>
      </c>
      <c r="C77" s="5" t="s">
        <v>31</v>
      </c>
      <c r="D77" s="21">
        <f t="shared" si="20"/>
        <v>42005</v>
      </c>
      <c r="E77" s="4">
        <f>AVERAGE(All_India_Index_Upto_April23__1___1[[#This Row],[Cereals and products]:[Food and beverages]])</f>
        <v>121.14615384615384</v>
      </c>
      <c r="F77" s="5">
        <f>AVERAGE(All_India_Index_Upto_April23__1___1[[#This Row],[Pan, tobacco and intoxicants]])</f>
        <v>127.4</v>
      </c>
      <c r="G77" s="4">
        <f>AVERAGE(All_India_Index_Upto_April23__1___1[[#This Row],[Clothing]:[Clothing and footwear]])</f>
        <v>119.10000000000001</v>
      </c>
      <c r="H77" s="5">
        <f>AVERAGE(All_India_Index_Upto_April23__1___1[[#This Row],[Housing]:[Fuel and light]])</f>
        <v>113.4</v>
      </c>
      <c r="I77" s="5">
        <f>AVERAGE(All_India_Index_Upto_April23__1___1[[#This Row],[Household goods and services]:[Health]])</f>
        <v>115.45</v>
      </c>
      <c r="J77" s="5">
        <f>AVERAGE(All_India_Index_Upto_April23__1___1[[#This Row],[Transport and communication]])</f>
        <v>107.9</v>
      </c>
      <c r="K77" s="5">
        <f>AVERAGE(All_India_Index_Upto_April23__1___1[[#This Row],[Recreation and amusement]])</f>
        <v>114.6</v>
      </c>
      <c r="L77" s="5">
        <f>AVERAGE(All_India_Index_Upto_April23__1___1[[#This Row],[Education]])</f>
        <v>120.8</v>
      </c>
      <c r="M77" s="5">
        <f>AVERAGE(All_India_Index_Upto_April23__1___1[[#This Row],[Personal care and effects]])</f>
        <v>111.4</v>
      </c>
      <c r="N77" s="5">
        <f>AVERAGE(All_India_Index_Upto_April23__1___1[[#This Row],[Miscellaneous]])</f>
        <v>113.4</v>
      </c>
      <c r="O77" s="5">
        <f>AVERAGE(All_India_Index_Upto_April23__1___1[[#This Row],[General index]])</f>
        <v>118.5</v>
      </c>
      <c r="P77" s="2">
        <f t="shared" si="30"/>
        <v>1051.1961538461539</v>
      </c>
      <c r="R77" s="10">
        <f t="shared" si="21"/>
        <v>11.524600180746473</v>
      </c>
      <c r="S77" s="10">
        <f t="shared" si="22"/>
        <v>12.119526839388095</v>
      </c>
      <c r="T77" s="10">
        <f t="shared" si="23"/>
        <v>11.329950130071603</v>
      </c>
      <c r="U77" s="10">
        <f t="shared" si="24"/>
        <v>10.787710703191602</v>
      </c>
      <c r="V77" s="10">
        <f t="shared" si="25"/>
        <v>10.982726637420374</v>
      </c>
      <c r="W77" s="10">
        <f t="shared" si="26"/>
        <v>10.264497221114407</v>
      </c>
      <c r="X77" s="10">
        <f t="shared" si="27"/>
        <v>10.901866372008442</v>
      </c>
      <c r="Y77" s="10">
        <f t="shared" si="28"/>
        <v>11.491670660895462</v>
      </c>
      <c r="Z77" s="10">
        <f t="shared" si="29"/>
        <v>10.597451255163531</v>
      </c>
    </row>
    <row r="78" spans="1:26" hidden="1" x14ac:dyDescent="0.3">
      <c r="A78" s="6" t="s">
        <v>34</v>
      </c>
      <c r="B78" s="6">
        <v>2015</v>
      </c>
      <c r="C78" s="6" t="s">
        <v>31</v>
      </c>
      <c r="D78" s="21">
        <f t="shared" si="20"/>
        <v>42005</v>
      </c>
      <c r="E78" s="4">
        <f>AVERAGE(All_India_Index_Upto_April23__1___1[[#This Row],[Cereals and products]:[Food and beverages]])</f>
        <v>120.71538461538461</v>
      </c>
      <c r="F78" s="5">
        <f>AVERAGE(All_India_Index_Upto_April23__1___1[[#This Row],[Pan, tobacco and intoxicants]])</f>
        <v>124</v>
      </c>
      <c r="G78" s="4">
        <f>AVERAGE(All_India_Index_Upto_April23__1___1[[#This Row],[Clothing]:[Clothing and footwear]])</f>
        <v>121.63333333333333</v>
      </c>
      <c r="H78" s="5">
        <f>AVERAGE(All_India_Index_Upto_April23__1___1[[#This Row],[Housing]:[Fuel and light]])</f>
        <v>116.5</v>
      </c>
      <c r="I78" s="5">
        <f>AVERAGE(All_India_Index_Upto_April23__1___1[[#This Row],[Household goods and services]:[Health]])</f>
        <v>116.8</v>
      </c>
      <c r="J78" s="5">
        <f>AVERAGE(All_India_Index_Upto_April23__1___1[[#This Row],[Transport and communication]])</f>
        <v>109.4</v>
      </c>
      <c r="K78" s="5">
        <f>AVERAGE(All_India_Index_Upto_April23__1___1[[#This Row],[Recreation and amusement]])</f>
        <v>114.3</v>
      </c>
      <c r="L78" s="5">
        <f>AVERAGE(All_India_Index_Upto_April23__1___1[[#This Row],[Education]])</f>
        <v>119.7</v>
      </c>
      <c r="M78" s="5">
        <f>AVERAGE(All_India_Index_Upto_April23__1___1[[#This Row],[Personal care and effects]])</f>
        <v>110.7</v>
      </c>
      <c r="N78" s="5">
        <f>AVERAGE(All_India_Index_Upto_April23__1___1[[#This Row],[Miscellaneous]])</f>
        <v>114</v>
      </c>
      <c r="O78" s="5">
        <f>AVERAGE(All_India_Index_Upto_April23__1___1[[#This Row],[General index]])</f>
        <v>119.5</v>
      </c>
      <c r="P78" s="2">
        <f>AVERAGE(E78:N78)</f>
        <v>116.7748717948718</v>
      </c>
      <c r="R78" s="10">
        <f t="shared" si="21"/>
        <v>103.37445270540289</v>
      </c>
      <c r="S78" s="10">
        <f t="shared" si="22"/>
        <v>106.18722854846713</v>
      </c>
      <c r="T78" s="10">
        <f t="shared" si="23"/>
        <v>104.16053682079476</v>
      </c>
      <c r="U78" s="10">
        <f t="shared" si="24"/>
        <v>99.764613918519515</v>
      </c>
      <c r="V78" s="10">
        <f t="shared" si="25"/>
        <v>100.02151850371743</v>
      </c>
      <c r="W78" s="10">
        <f t="shared" si="26"/>
        <v>93.684538735502457</v>
      </c>
      <c r="X78" s="10">
        <f t="shared" si="27"/>
        <v>97.880646960401549</v>
      </c>
      <c r="Y78" s="10">
        <f t="shared" si="28"/>
        <v>102.50492949396384</v>
      </c>
      <c r="Z78" s="10">
        <f t="shared" si="29"/>
        <v>94.797791938026705</v>
      </c>
    </row>
    <row r="79" spans="1:26" hidden="1" x14ac:dyDescent="0.3">
      <c r="A79" s="5" t="s">
        <v>30</v>
      </c>
      <c r="B79" s="5">
        <v>2015</v>
      </c>
      <c r="C79" s="5" t="s">
        <v>35</v>
      </c>
      <c r="D79" s="21">
        <f t="shared" si="20"/>
        <v>42036</v>
      </c>
      <c r="E79" s="4">
        <f>AVERAGE(All_India_Index_Upto_April23__1___1[[#This Row],[Cereals and products]:[Food and beverages]])</f>
        <v>120.81538461538459</v>
      </c>
      <c r="F79" s="5">
        <f>AVERAGE(All_India_Index_Upto_April23__1___1[[#This Row],[Pan, tobacco and intoxicants]])</f>
        <v>124.2</v>
      </c>
      <c r="G79" s="4">
        <f>AVERAGE(All_India_Index_Upto_April23__1___1[[#This Row],[Clothing]:[Clothing and footwear]])</f>
        <v>124.36666666666667</v>
      </c>
      <c r="H79" s="5">
        <f>AVERAGE(All_India_Index_Upto_April23__1___1[[#This Row],[Housing]:[Fuel and light]])</f>
        <v>120</v>
      </c>
      <c r="I79" s="5">
        <f>AVERAGE(All_India_Index_Upto_April23__1___1[[#This Row],[Household goods and services]:[Health]])</f>
        <v>118.65</v>
      </c>
      <c r="J79" s="5">
        <f>AVERAGE(All_India_Index_Upto_April23__1___1[[#This Row],[Transport and communication]])</f>
        <v>110.9</v>
      </c>
      <c r="K79" s="5">
        <f>AVERAGE(All_India_Index_Upto_April23__1___1[[#This Row],[Recreation and amusement]])</f>
        <v>114.8</v>
      </c>
      <c r="L79" s="5">
        <f>AVERAGE(All_India_Index_Upto_April23__1___1[[#This Row],[Education]])</f>
        <v>118.7</v>
      </c>
      <c r="M79" s="5">
        <f>AVERAGE(All_India_Index_Upto_April23__1___1[[#This Row],[Personal care and effects]])</f>
        <v>110.8</v>
      </c>
      <c r="N79" s="5">
        <f>AVERAGE(All_India_Index_Upto_April23__1___1[[#This Row],[Miscellaneous]])</f>
        <v>115</v>
      </c>
      <c r="O79" s="5">
        <f>AVERAGE(All_India_Index_Upto_April23__1___1[[#This Row],[General index]])</f>
        <v>120.6</v>
      </c>
      <c r="P79" s="2">
        <f t="shared" si="30"/>
        <v>1063.2320512820513</v>
      </c>
      <c r="R79" s="10">
        <f t="shared" si="21"/>
        <v>11.363030720312157</v>
      </c>
      <c r="S79" s="10">
        <f t="shared" si="22"/>
        <v>11.681363428636198</v>
      </c>
      <c r="T79" s="10">
        <f t="shared" si="23"/>
        <v>11.69703890290973</v>
      </c>
      <c r="U79" s="10">
        <f t="shared" si="24"/>
        <v>11.286341476943186</v>
      </c>
      <c r="V79" s="10">
        <f t="shared" si="25"/>
        <v>11.159370135327576</v>
      </c>
      <c r="W79" s="10">
        <f t="shared" si="26"/>
        <v>10.430460581608328</v>
      </c>
      <c r="X79" s="10">
        <f t="shared" si="27"/>
        <v>10.797266679608981</v>
      </c>
      <c r="Y79" s="10">
        <f t="shared" si="28"/>
        <v>11.164072777609634</v>
      </c>
      <c r="Z79" s="10">
        <f t="shared" si="29"/>
        <v>10.421055297044207</v>
      </c>
    </row>
    <row r="80" spans="1:26" hidden="1" x14ac:dyDescent="0.3">
      <c r="A80" s="6" t="s">
        <v>32</v>
      </c>
      <c r="B80" s="6">
        <v>2015</v>
      </c>
      <c r="C80" s="6" t="s">
        <v>35</v>
      </c>
      <c r="D80" s="21">
        <f t="shared" si="20"/>
        <v>42036</v>
      </c>
      <c r="E80" s="4">
        <f>AVERAGE(All_India_Index_Upto_April23__1___1[[#This Row],[Cereals and products]:[Food and beverages]])</f>
        <v>120.85384615384616</v>
      </c>
      <c r="F80" s="5">
        <f>AVERAGE(All_India_Index_Upto_April23__1___1[[#This Row],[Pan, tobacco and intoxicants]])</f>
        <v>128.1</v>
      </c>
      <c r="G80" s="4">
        <f>AVERAGE(All_India_Index_Upto_April23__1___1[[#This Row],[Clothing]:[Clothing and footwear]])</f>
        <v>119.46666666666665</v>
      </c>
      <c r="H80" s="5">
        <f>AVERAGE(All_India_Index_Upto_April23__1___1[[#This Row],[Housing]:[Fuel and light]])</f>
        <v>114</v>
      </c>
      <c r="I80" s="5">
        <f>AVERAGE(All_India_Index_Upto_April23__1___1[[#This Row],[Household goods and services]:[Health]])</f>
        <v>115.9</v>
      </c>
      <c r="J80" s="5">
        <f>AVERAGE(All_India_Index_Upto_April23__1___1[[#This Row],[Transport and communication]])</f>
        <v>106.8</v>
      </c>
      <c r="K80" s="5">
        <f>AVERAGE(All_India_Index_Upto_April23__1___1[[#This Row],[Recreation and amusement]])</f>
        <v>114.9</v>
      </c>
      <c r="L80" s="5">
        <f>AVERAGE(All_India_Index_Upto_April23__1___1[[#This Row],[Education]])</f>
        <v>120.4</v>
      </c>
      <c r="M80" s="5">
        <f>AVERAGE(All_India_Index_Upto_April23__1___1[[#This Row],[Personal care and effects]])</f>
        <v>111.7</v>
      </c>
      <c r="N80" s="5">
        <f>AVERAGE(All_India_Index_Upto_April23__1___1[[#This Row],[Miscellaneous]])</f>
        <v>113.2</v>
      </c>
      <c r="O80" s="5">
        <f>AVERAGE(All_India_Index_Upto_April23__1___1[[#This Row],[General index]])</f>
        <v>118.7</v>
      </c>
      <c r="P80" s="2">
        <f t="shared" si="30"/>
        <v>1052.1205128205127</v>
      </c>
      <c r="R80" s="10">
        <f t="shared" si="21"/>
        <v>11.48669232100252</v>
      </c>
      <c r="S80" s="10">
        <f t="shared" si="22"/>
        <v>12.175411318290049</v>
      </c>
      <c r="T80" s="10">
        <f t="shared" si="23"/>
        <v>11.354846256765946</v>
      </c>
      <c r="U80" s="10">
        <f t="shared" si="24"/>
        <v>10.83526065796304</v>
      </c>
      <c r="V80" s="10">
        <f t="shared" si="25"/>
        <v>11.015848335595759</v>
      </c>
      <c r="W80" s="10">
        <f t="shared" si="26"/>
        <v>10.150928405881164</v>
      </c>
      <c r="X80" s="10">
        <f t="shared" si="27"/>
        <v>10.920802189473276</v>
      </c>
      <c r="Y80" s="10">
        <f t="shared" si="28"/>
        <v>11.443555993146932</v>
      </c>
      <c r="Z80" s="10">
        <f t="shared" si="29"/>
        <v>10.61665452188133</v>
      </c>
    </row>
    <row r="81" spans="1:26" hidden="1" x14ac:dyDescent="0.3">
      <c r="A81" s="5" t="s">
        <v>34</v>
      </c>
      <c r="B81" s="5">
        <v>2015</v>
      </c>
      <c r="C81" s="5" t="s">
        <v>35</v>
      </c>
      <c r="D81" s="21">
        <f t="shared" si="20"/>
        <v>42036</v>
      </c>
      <c r="E81" s="4">
        <f>AVERAGE(All_India_Index_Upto_April23__1___1[[#This Row],[Cereals and products]:[Food and beverages]])</f>
        <v>120.72307692307689</v>
      </c>
      <c r="F81" s="5">
        <f>AVERAGE(All_India_Index_Upto_April23__1___1[[#This Row],[Pan, tobacco and intoxicants]])</f>
        <v>125.2</v>
      </c>
      <c r="G81" s="4">
        <f>AVERAGE(All_India_Index_Upto_April23__1___1[[#This Row],[Clothing]:[Clothing and footwear]])</f>
        <v>122.39999999999999</v>
      </c>
      <c r="H81" s="5">
        <f>AVERAGE(All_India_Index_Upto_April23__1___1[[#This Row],[Housing]:[Fuel and light]])</f>
        <v>117.7</v>
      </c>
      <c r="I81" s="5">
        <f>AVERAGE(All_India_Index_Upto_April23__1___1[[#This Row],[Household goods and services]:[Health]])</f>
        <v>117.5</v>
      </c>
      <c r="J81" s="5">
        <f>AVERAGE(All_India_Index_Upto_April23__1___1[[#This Row],[Transport and communication]])</f>
        <v>108.7</v>
      </c>
      <c r="K81" s="5">
        <f>AVERAGE(All_India_Index_Upto_April23__1___1[[#This Row],[Recreation and amusement]])</f>
        <v>114.9</v>
      </c>
      <c r="L81" s="5">
        <f>AVERAGE(All_India_Index_Upto_April23__1___1[[#This Row],[Education]])</f>
        <v>119.7</v>
      </c>
      <c r="M81" s="5">
        <f>AVERAGE(All_India_Index_Upto_April23__1___1[[#This Row],[Personal care and effects]])</f>
        <v>111.2</v>
      </c>
      <c r="N81" s="5">
        <f>AVERAGE(All_India_Index_Upto_April23__1___1[[#This Row],[Miscellaneous]])</f>
        <v>114.1</v>
      </c>
      <c r="O81" s="5">
        <f>AVERAGE(All_India_Index_Upto_April23__1___1[[#This Row],[General index]])</f>
        <v>119.7</v>
      </c>
      <c r="P81" s="2">
        <f>AVERAGE(E81:N81)</f>
        <v>117.21230769230768</v>
      </c>
      <c r="R81" s="10">
        <f t="shared" si="21"/>
        <v>102.99522234472617</v>
      </c>
      <c r="S81" s="10">
        <f t="shared" si="22"/>
        <v>106.81472147844806</v>
      </c>
      <c r="T81" s="10">
        <f t="shared" si="23"/>
        <v>104.42589384154985</v>
      </c>
      <c r="U81" s="10">
        <f t="shared" si="24"/>
        <v>100.41607602247076</v>
      </c>
      <c r="V81" s="10">
        <f t="shared" si="25"/>
        <v>100.24544547697802</v>
      </c>
      <c r="W81" s="10">
        <f t="shared" si="26"/>
        <v>92.737701475297968</v>
      </c>
      <c r="X81" s="10">
        <f t="shared" si="27"/>
        <v>98.027248385572548</v>
      </c>
      <c r="Y81" s="10">
        <f t="shared" si="28"/>
        <v>102.12238147739802</v>
      </c>
      <c r="Z81" s="10">
        <f t="shared" si="29"/>
        <v>94.870583293957068</v>
      </c>
    </row>
    <row r="82" spans="1:26" hidden="1" x14ac:dyDescent="0.3">
      <c r="A82" s="6" t="s">
        <v>30</v>
      </c>
      <c r="B82" s="6">
        <v>2015</v>
      </c>
      <c r="C82" s="6" t="s">
        <v>37</v>
      </c>
      <c r="D82" s="21">
        <f t="shared" si="20"/>
        <v>42064</v>
      </c>
      <c r="E82" s="4">
        <f>AVERAGE(All_India_Index_Upto_April23__1___1[[#This Row],[Cereals and products]:[Food and beverages]])</f>
        <v>120.88461538461539</v>
      </c>
      <c r="F82" s="5">
        <f>AVERAGE(All_India_Index_Upto_April23__1___1[[#This Row],[Pan, tobacco and intoxicants]])</f>
        <v>124.7</v>
      </c>
      <c r="G82" s="4">
        <f>AVERAGE(All_India_Index_Upto_April23__1___1[[#This Row],[Clothing]:[Clothing and footwear]])</f>
        <v>124.8</v>
      </c>
      <c r="H82" s="5">
        <f>AVERAGE(All_India_Index_Upto_April23__1___1[[#This Row],[Housing]:[Fuel and light]])</f>
        <v>120.6</v>
      </c>
      <c r="I82" s="5">
        <f>AVERAGE(All_India_Index_Upto_April23__1___1[[#This Row],[Household goods and services]:[Health]])</f>
        <v>119.2</v>
      </c>
      <c r="J82" s="5">
        <f>AVERAGE(All_India_Index_Upto_April23__1___1[[#This Row],[Transport and communication]])</f>
        <v>111.6</v>
      </c>
      <c r="K82" s="5">
        <f>AVERAGE(All_India_Index_Upto_April23__1___1[[#This Row],[Recreation and amusement]])</f>
        <v>115.5</v>
      </c>
      <c r="L82" s="5">
        <f>AVERAGE(All_India_Index_Upto_April23__1___1[[#This Row],[Education]])</f>
        <v>119.4</v>
      </c>
      <c r="M82" s="5">
        <f>AVERAGE(All_India_Index_Upto_April23__1___1[[#This Row],[Personal care and effects]])</f>
        <v>110.8</v>
      </c>
      <c r="N82" s="5">
        <f>AVERAGE(All_India_Index_Upto_April23__1___1[[#This Row],[Miscellaneous]])</f>
        <v>115.5</v>
      </c>
      <c r="O82" s="5">
        <f>AVERAGE(All_India_Index_Upto_April23__1___1[[#This Row],[General index]])</f>
        <v>121.1</v>
      </c>
      <c r="P82" s="2">
        <f t="shared" si="30"/>
        <v>1067.4846153846154</v>
      </c>
      <c r="R82" s="10">
        <f t="shared" si="21"/>
        <v>11.324248953326656</v>
      </c>
      <c r="S82" s="10">
        <f t="shared" si="22"/>
        <v>11.681667183097577</v>
      </c>
      <c r="T82" s="10">
        <f t="shared" si="23"/>
        <v>11.691034999603669</v>
      </c>
      <c r="U82" s="10">
        <f t="shared" si="24"/>
        <v>11.297586706347776</v>
      </c>
      <c r="V82" s="10">
        <f t="shared" si="25"/>
        <v>11.16643727526248</v>
      </c>
      <c r="W82" s="10">
        <f t="shared" si="26"/>
        <v>10.454483220799435</v>
      </c>
      <c r="X82" s="10">
        <f t="shared" si="27"/>
        <v>10.819828064537051</v>
      </c>
      <c r="Y82" s="10">
        <f t="shared" si="28"/>
        <v>11.185172908274666</v>
      </c>
      <c r="Z82" s="10">
        <f t="shared" si="29"/>
        <v>10.379540688750694</v>
      </c>
    </row>
    <row r="83" spans="1:26" hidden="1" x14ac:dyDescent="0.3">
      <c r="A83" s="5" t="s">
        <v>32</v>
      </c>
      <c r="B83" s="5">
        <v>2015</v>
      </c>
      <c r="C83" s="5" t="s">
        <v>37</v>
      </c>
      <c r="D83" s="21">
        <f t="shared" si="20"/>
        <v>42064</v>
      </c>
      <c r="E83" s="4">
        <f>AVERAGE(All_India_Index_Upto_April23__1___1[[#This Row],[Cereals and products]:[Food and beverages]])</f>
        <v>120.61538461538463</v>
      </c>
      <c r="F83" s="5">
        <f>AVERAGE(All_India_Index_Upto_April23__1___1[[#This Row],[Pan, tobacco and intoxicants]])</f>
        <v>128.80000000000001</v>
      </c>
      <c r="G83" s="4">
        <f>AVERAGE(All_India_Index_Upto_April23__1___1[[#This Row],[Clothing]:[Clothing and footwear]])</f>
        <v>119.83333333333333</v>
      </c>
      <c r="H83" s="5">
        <f>AVERAGE(All_India_Index_Upto_April23__1___1[[#This Row],[Housing]:[Fuel and light]])</f>
        <v>114.4</v>
      </c>
      <c r="I83" s="5">
        <f>AVERAGE(All_India_Index_Upto_April23__1___1[[#This Row],[Household goods and services]:[Health]])</f>
        <v>116.15</v>
      </c>
      <c r="J83" s="5">
        <f>AVERAGE(All_India_Index_Upto_April23__1___1[[#This Row],[Transport and communication]])</f>
        <v>108.4</v>
      </c>
      <c r="K83" s="5">
        <f>AVERAGE(All_India_Index_Upto_April23__1___1[[#This Row],[Recreation and amusement]])</f>
        <v>115.4</v>
      </c>
      <c r="L83" s="5">
        <f>AVERAGE(All_India_Index_Upto_April23__1___1[[#This Row],[Education]])</f>
        <v>120.6</v>
      </c>
      <c r="M83" s="5">
        <f>AVERAGE(All_India_Index_Upto_April23__1___1[[#This Row],[Personal care and effects]])</f>
        <v>111.3</v>
      </c>
      <c r="N83" s="5">
        <f>AVERAGE(All_India_Index_Upto_April23__1___1[[#This Row],[Miscellaneous]])</f>
        <v>113.8</v>
      </c>
      <c r="O83" s="5">
        <f>AVERAGE(All_India_Index_Upto_April23__1___1[[#This Row],[General index]])</f>
        <v>119.1</v>
      </c>
      <c r="P83" s="2">
        <f t="shared" si="30"/>
        <v>1055.498717948718</v>
      </c>
      <c r="R83" s="10">
        <f t="shared" si="21"/>
        <v>11.427335965863749</v>
      </c>
      <c r="S83" s="10">
        <f t="shared" si="22"/>
        <v>12.202762334975933</v>
      </c>
      <c r="T83" s="10">
        <f t="shared" si="23"/>
        <v>11.353242907411614</v>
      </c>
      <c r="U83" s="10">
        <f t="shared" si="24"/>
        <v>10.838478347214647</v>
      </c>
      <c r="V83" s="10">
        <f t="shared" si="25"/>
        <v>11.004276748505081</v>
      </c>
      <c r="W83" s="10">
        <f t="shared" si="26"/>
        <v>10.270026685647446</v>
      </c>
      <c r="X83" s="10">
        <f t="shared" si="27"/>
        <v>10.933220290809182</v>
      </c>
      <c r="Y83" s="10">
        <f t="shared" si="28"/>
        <v>11.425878397500755</v>
      </c>
      <c r="Z83" s="10">
        <f t="shared" si="29"/>
        <v>10.544778322071593</v>
      </c>
    </row>
    <row r="84" spans="1:26" hidden="1" x14ac:dyDescent="0.3">
      <c r="A84" s="6" t="s">
        <v>34</v>
      </c>
      <c r="B84" s="6">
        <v>2015</v>
      </c>
      <c r="C84" s="6" t="s">
        <v>37</v>
      </c>
      <c r="D84" s="21">
        <f t="shared" si="20"/>
        <v>42064</v>
      </c>
      <c r="E84" s="4">
        <f>AVERAGE(All_India_Index_Upto_April23__1___1[[#This Row],[Cereals and products]:[Food and beverages]])</f>
        <v>120.69999999999999</v>
      </c>
      <c r="F84" s="5">
        <f>AVERAGE(All_India_Index_Upto_April23__1___1[[#This Row],[Pan, tobacco and intoxicants]])</f>
        <v>125.8</v>
      </c>
      <c r="G84" s="4">
        <f>AVERAGE(All_India_Index_Upto_April23__1___1[[#This Row],[Clothing]:[Clothing and footwear]])</f>
        <v>122.8</v>
      </c>
      <c r="H84" s="5">
        <f>AVERAGE(All_India_Index_Upto_April23__1___1[[#This Row],[Housing]:[Fuel and light]])</f>
        <v>118.3</v>
      </c>
      <c r="I84" s="5">
        <f>AVERAGE(All_India_Index_Upto_April23__1___1[[#This Row],[Household goods and services]:[Health]])</f>
        <v>117.95</v>
      </c>
      <c r="J84" s="5">
        <f>AVERAGE(All_India_Index_Upto_April23__1___1[[#This Row],[Transport and communication]])</f>
        <v>109.9</v>
      </c>
      <c r="K84" s="5">
        <f>AVERAGE(All_India_Index_Upto_April23__1___1[[#This Row],[Recreation and amusement]])</f>
        <v>115.4</v>
      </c>
      <c r="L84" s="5">
        <f>AVERAGE(All_India_Index_Upto_April23__1___1[[#This Row],[Education]])</f>
        <v>120.1</v>
      </c>
      <c r="M84" s="5">
        <f>AVERAGE(All_India_Index_Upto_April23__1___1[[#This Row],[Personal care and effects]])</f>
        <v>111</v>
      </c>
      <c r="N84" s="5">
        <f>AVERAGE(All_India_Index_Upto_April23__1___1[[#This Row],[Miscellaneous]])</f>
        <v>114.7</v>
      </c>
      <c r="O84" s="5">
        <f>AVERAGE(All_India_Index_Upto_April23__1___1[[#This Row],[General index]])</f>
        <v>120.2</v>
      </c>
      <c r="P84" s="2">
        <f>AVERAGE(E84:N84)</f>
        <v>117.66500000000001</v>
      </c>
      <c r="R84" s="10">
        <f t="shared" si="21"/>
        <v>102.57935664811116</v>
      </c>
      <c r="S84" s="10">
        <f t="shared" si="22"/>
        <v>106.91369566141162</v>
      </c>
      <c r="T84" s="10">
        <f t="shared" si="23"/>
        <v>104.36408447711723</v>
      </c>
      <c r="U84" s="10">
        <f t="shared" si="24"/>
        <v>100.53966770067564</v>
      </c>
      <c r="V84" s="10">
        <f t="shared" si="25"/>
        <v>100.24221306250796</v>
      </c>
      <c r="W84" s="10">
        <f t="shared" si="26"/>
        <v>93.400756384651345</v>
      </c>
      <c r="X84" s="10">
        <f t="shared" si="27"/>
        <v>98.075043555857732</v>
      </c>
      <c r="Y84" s="10">
        <f t="shared" si="28"/>
        <v>102.06943441125227</v>
      </c>
      <c r="Z84" s="10">
        <f t="shared" si="29"/>
        <v>94.335613818892611</v>
      </c>
    </row>
    <row r="85" spans="1:26" hidden="1" x14ac:dyDescent="0.3">
      <c r="A85" s="5" t="s">
        <v>30</v>
      </c>
      <c r="B85" s="5">
        <v>2015</v>
      </c>
      <c r="C85" s="5" t="s">
        <v>38</v>
      </c>
      <c r="D85" s="21">
        <f t="shared" si="20"/>
        <v>42095</v>
      </c>
      <c r="E85" s="4">
        <f>AVERAGE(All_India_Index_Upto_April23__1___1[[#This Row],[Cereals and products]:[Food and beverages]])</f>
        <v>121.32307692307693</v>
      </c>
      <c r="F85" s="5">
        <f>AVERAGE(All_India_Index_Upto_April23__1___1[[#This Row],[Pan, tobacco and intoxicants]])</f>
        <v>125.7</v>
      </c>
      <c r="G85" s="4">
        <f>AVERAGE(All_India_Index_Upto_April23__1___1[[#This Row],[Clothing]:[Clothing and footwear]])</f>
        <v>125.23333333333333</v>
      </c>
      <c r="H85" s="5">
        <f>AVERAGE(All_India_Index_Upto_April23__1___1[[#This Row],[Housing]:[Fuel and light]])</f>
        <v>121.2</v>
      </c>
      <c r="I85" s="5">
        <f>AVERAGE(All_India_Index_Upto_April23__1___1[[#This Row],[Household goods and services]:[Health]])</f>
        <v>119.75</v>
      </c>
      <c r="J85" s="5">
        <f>AVERAGE(All_India_Index_Upto_April23__1___1[[#This Row],[Transport and communication]])</f>
        <v>111.9</v>
      </c>
      <c r="K85" s="5">
        <f>AVERAGE(All_India_Index_Upto_April23__1___1[[#This Row],[Recreation and amusement]])</f>
        <v>116.2</v>
      </c>
      <c r="L85" s="5">
        <f>AVERAGE(All_India_Index_Upto_April23__1___1[[#This Row],[Education]])</f>
        <v>119.9</v>
      </c>
      <c r="M85" s="5">
        <f>AVERAGE(All_India_Index_Upto_April23__1___1[[#This Row],[Personal care and effects]])</f>
        <v>111.6</v>
      </c>
      <c r="N85" s="5">
        <f>AVERAGE(All_India_Index_Upto_April23__1___1[[#This Row],[Miscellaneous]])</f>
        <v>116</v>
      </c>
      <c r="O85" s="5">
        <f>AVERAGE(All_India_Index_Upto_April23__1___1[[#This Row],[General index]])</f>
        <v>121.5</v>
      </c>
      <c r="P85" s="2">
        <f t="shared" si="30"/>
        <v>1072.8064102564101</v>
      </c>
      <c r="R85" s="10">
        <f t="shared" si="21"/>
        <v>11.308944070727508</v>
      </c>
      <c r="S85" s="10">
        <f t="shared" si="22"/>
        <v>11.716932225447515</v>
      </c>
      <c r="T85" s="10">
        <f t="shared" si="23"/>
        <v>11.673432609654286</v>
      </c>
      <c r="U85" s="10">
        <f t="shared" si="24"/>
        <v>11.29747164458424</v>
      </c>
      <c r="V85" s="10">
        <f t="shared" si="25"/>
        <v>11.162312124083851</v>
      </c>
      <c r="W85" s="10">
        <f t="shared" si="26"/>
        <v>10.430586444133469</v>
      </c>
      <c r="X85" s="10">
        <f t="shared" si="27"/>
        <v>10.831404332513934</v>
      </c>
      <c r="Y85" s="10">
        <f t="shared" si="28"/>
        <v>11.17629414344596</v>
      </c>
      <c r="Z85" s="10">
        <f t="shared" si="29"/>
        <v>10.40262240540925</v>
      </c>
    </row>
    <row r="86" spans="1:26" hidden="1" x14ac:dyDescent="0.3">
      <c r="A86" s="6" t="s">
        <v>32</v>
      </c>
      <c r="B86" s="6">
        <v>2015</v>
      </c>
      <c r="C86" s="6" t="s">
        <v>38</v>
      </c>
      <c r="D86" s="21">
        <f t="shared" si="20"/>
        <v>42095</v>
      </c>
      <c r="E86" s="4">
        <f>AVERAGE(All_India_Index_Upto_April23__1___1[[#This Row],[Cereals and products]:[Food and beverages]])</f>
        <v>121.23846153846154</v>
      </c>
      <c r="F86" s="5">
        <f>AVERAGE(All_India_Index_Upto_April23__1___1[[#This Row],[Pan, tobacco and intoxicants]])</f>
        <v>130.1</v>
      </c>
      <c r="G86" s="4">
        <f>AVERAGE(All_India_Index_Upto_April23__1___1[[#This Row],[Clothing]:[Clothing and footwear]])</f>
        <v>120.2</v>
      </c>
      <c r="H86" s="5">
        <f>AVERAGE(All_India_Index_Upto_April23__1___1[[#This Row],[Housing]:[Fuel and light]])</f>
        <v>114.7</v>
      </c>
      <c r="I86" s="5">
        <f>AVERAGE(All_India_Index_Upto_April23__1___1[[#This Row],[Household goods and services]:[Health]])</f>
        <v>116.5</v>
      </c>
      <c r="J86" s="5">
        <f>AVERAGE(All_India_Index_Upto_April23__1___1[[#This Row],[Transport and communication]])</f>
        <v>108.4</v>
      </c>
      <c r="K86" s="5">
        <f>AVERAGE(All_India_Index_Upto_April23__1___1[[#This Row],[Recreation and amusement]])</f>
        <v>115.6</v>
      </c>
      <c r="L86" s="5">
        <f>AVERAGE(All_India_Index_Upto_April23__1___1[[#This Row],[Education]])</f>
        <v>121.7</v>
      </c>
      <c r="M86" s="5">
        <f>AVERAGE(All_India_Index_Upto_April23__1___1[[#This Row],[Personal care and effects]])</f>
        <v>111.8</v>
      </c>
      <c r="N86" s="5">
        <f>AVERAGE(All_India_Index_Upto_April23__1___1[[#This Row],[Miscellaneous]])</f>
        <v>114.2</v>
      </c>
      <c r="O86" s="5">
        <f>AVERAGE(All_India_Index_Upto_April23__1___1[[#This Row],[General index]])</f>
        <v>119.7</v>
      </c>
      <c r="P86" s="2">
        <f t="shared" si="30"/>
        <v>1060.2384615384615</v>
      </c>
      <c r="R86" s="10">
        <f t="shared" si="21"/>
        <v>11.435018246983624</v>
      </c>
      <c r="S86" s="10">
        <f t="shared" si="22"/>
        <v>12.270824415407274</v>
      </c>
      <c r="T86" s="10">
        <f t="shared" si="23"/>
        <v>11.337072211621479</v>
      </c>
      <c r="U86" s="10">
        <f t="shared" si="24"/>
        <v>10.818320987296037</v>
      </c>
      <c r="V86" s="10">
        <f t="shared" si="25"/>
        <v>10.988094115257091</v>
      </c>
      <c r="W86" s="10">
        <f t="shared" si="26"/>
        <v>10.22411503943235</v>
      </c>
      <c r="X86" s="10">
        <f t="shared" si="27"/>
        <v>10.903207551276562</v>
      </c>
      <c r="Y86" s="10">
        <f t="shared" si="28"/>
        <v>11.478549818255692</v>
      </c>
      <c r="Z86" s="10">
        <f t="shared" si="29"/>
        <v>10.544797614469894</v>
      </c>
    </row>
    <row r="87" spans="1:26" hidden="1" x14ac:dyDescent="0.3">
      <c r="A87" s="5" t="s">
        <v>34</v>
      </c>
      <c r="B87" s="5">
        <v>2015</v>
      </c>
      <c r="C87" s="5" t="s">
        <v>38</v>
      </c>
      <c r="D87" s="21">
        <f t="shared" si="20"/>
        <v>42095</v>
      </c>
      <c r="E87" s="4">
        <f>AVERAGE(All_India_Index_Upto_April23__1___1[[#This Row],[Cereals and products]:[Food and beverages]])</f>
        <v>121.20769230769231</v>
      </c>
      <c r="F87" s="5">
        <f>AVERAGE(All_India_Index_Upto_April23__1___1[[#This Row],[Pan, tobacco and intoxicants]])</f>
        <v>126.9</v>
      </c>
      <c r="G87" s="4">
        <f>AVERAGE(All_India_Index_Upto_April23__1___1[[#This Row],[Clothing]:[Clothing and footwear]])</f>
        <v>123.2</v>
      </c>
      <c r="H87" s="5">
        <f>AVERAGE(All_India_Index_Upto_April23__1___1[[#This Row],[Housing]:[Fuel and light]])</f>
        <v>118.7</v>
      </c>
      <c r="I87" s="5">
        <f>AVERAGE(All_India_Index_Upto_April23__1___1[[#This Row],[Household goods and services]:[Health]])</f>
        <v>118.4</v>
      </c>
      <c r="J87" s="5">
        <f>AVERAGE(All_India_Index_Upto_April23__1___1[[#This Row],[Transport and communication]])</f>
        <v>110.1</v>
      </c>
      <c r="K87" s="5">
        <f>AVERAGE(All_India_Index_Upto_April23__1___1[[#This Row],[Recreation and amusement]])</f>
        <v>115.9</v>
      </c>
      <c r="L87" s="5">
        <f>AVERAGE(All_India_Index_Upto_April23__1___1[[#This Row],[Education]])</f>
        <v>121</v>
      </c>
      <c r="M87" s="5">
        <f>AVERAGE(All_India_Index_Upto_April23__1___1[[#This Row],[Personal care and effects]])</f>
        <v>111.7</v>
      </c>
      <c r="N87" s="5">
        <f>AVERAGE(All_India_Index_Upto_April23__1___1[[#This Row],[Miscellaneous]])</f>
        <v>115.1</v>
      </c>
      <c r="O87" s="5">
        <f>AVERAGE(All_India_Index_Upto_April23__1___1[[#This Row],[General index]])</f>
        <v>120.7</v>
      </c>
      <c r="P87" s="2">
        <f>AVERAGE(E87:N87)</f>
        <v>118.22076923076922</v>
      </c>
      <c r="R87" s="10">
        <f t="shared" si="21"/>
        <v>102.52656373017888</v>
      </c>
      <c r="S87" s="10">
        <f t="shared" si="22"/>
        <v>107.3415448281247</v>
      </c>
      <c r="T87" s="10">
        <f t="shared" si="23"/>
        <v>104.21180711445992</v>
      </c>
      <c r="U87" s="10">
        <f t="shared" si="24"/>
        <v>100.40536935459734</v>
      </c>
      <c r="V87" s="10">
        <f t="shared" si="25"/>
        <v>100.15160683727318</v>
      </c>
      <c r="W87" s="10">
        <f t="shared" si="26"/>
        <v>93.130843857971072</v>
      </c>
      <c r="X87" s="10">
        <f t="shared" si="27"/>
        <v>98.036919192905074</v>
      </c>
      <c r="Y87" s="10">
        <f t="shared" si="28"/>
        <v>102.350881987416</v>
      </c>
      <c r="Z87" s="10">
        <f t="shared" si="29"/>
        <v>94.484243950366661</v>
      </c>
    </row>
    <row r="88" spans="1:26" hidden="1" x14ac:dyDescent="0.3">
      <c r="A88" s="6" t="s">
        <v>30</v>
      </c>
      <c r="B88" s="6">
        <v>2015</v>
      </c>
      <c r="C88" s="6" t="s">
        <v>40</v>
      </c>
      <c r="D88" s="21">
        <f t="shared" si="20"/>
        <v>42125</v>
      </c>
      <c r="E88" s="4">
        <f>AVERAGE(All_India_Index_Upto_April23__1___1[[#This Row],[Cereals and products]:[Food and beverages]])</f>
        <v>122.13076923076923</v>
      </c>
      <c r="F88" s="5">
        <f>AVERAGE(All_India_Index_Upto_April23__1___1[[#This Row],[Pan, tobacco and intoxicants]])</f>
        <v>126.7</v>
      </c>
      <c r="G88" s="4">
        <f>AVERAGE(All_India_Index_Upto_April23__1___1[[#This Row],[Clothing]:[Clothing and footwear]])</f>
        <v>126.06666666666666</v>
      </c>
      <c r="H88" s="5">
        <f>AVERAGE(All_India_Index_Upto_April23__1___1[[#This Row],[Housing]:[Fuel and light]])</f>
        <v>121.9</v>
      </c>
      <c r="I88" s="5">
        <f>AVERAGE(All_India_Index_Upto_April23__1___1[[#This Row],[Household goods and services]:[Health]])</f>
        <v>120.45</v>
      </c>
      <c r="J88" s="5">
        <f>AVERAGE(All_India_Index_Upto_April23__1___1[[#This Row],[Transport and communication]])</f>
        <v>113.3</v>
      </c>
      <c r="K88" s="5">
        <f>AVERAGE(All_India_Index_Upto_April23__1___1[[#This Row],[Recreation and amusement]])</f>
        <v>116.7</v>
      </c>
      <c r="L88" s="5">
        <f>AVERAGE(All_India_Index_Upto_April23__1___1[[#This Row],[Education]])</f>
        <v>120.5</v>
      </c>
      <c r="M88" s="5">
        <f>AVERAGE(All_India_Index_Upto_April23__1___1[[#This Row],[Personal care and effects]])</f>
        <v>112.3</v>
      </c>
      <c r="N88" s="5">
        <f>AVERAGE(All_India_Index_Upto_April23__1___1[[#This Row],[Miscellaneous]])</f>
        <v>116.9</v>
      </c>
      <c r="O88" s="5">
        <f>AVERAGE(All_India_Index_Upto_April23__1___1[[#This Row],[General index]])</f>
        <v>122.4</v>
      </c>
      <c r="P88" s="2">
        <f t="shared" si="30"/>
        <v>1080.0474358974359</v>
      </c>
      <c r="R88" s="10">
        <f t="shared" si="21"/>
        <v>11.307907891035175</v>
      </c>
      <c r="S88" s="10">
        <f t="shared" si="22"/>
        <v>11.73096623248979</v>
      </c>
      <c r="T88" s="10">
        <f t="shared" si="23"/>
        <v>11.672326832748324</v>
      </c>
      <c r="U88" s="10">
        <f t="shared" si="24"/>
        <v>11.286541308133428</v>
      </c>
      <c r="V88" s="10">
        <f t="shared" si="25"/>
        <v>11.152287945567444</v>
      </c>
      <c r="W88" s="10">
        <f t="shared" si="26"/>
        <v>10.49027998532828</v>
      </c>
      <c r="X88" s="10">
        <f t="shared" si="27"/>
        <v>10.805080973414036</v>
      </c>
      <c r="Y88" s="10">
        <f t="shared" si="28"/>
        <v>11.156917371862821</v>
      </c>
      <c r="Z88" s="10">
        <f t="shared" si="29"/>
        <v>10.397691459420704</v>
      </c>
    </row>
    <row r="89" spans="1:26" hidden="1" x14ac:dyDescent="0.3">
      <c r="A89" s="5" t="s">
        <v>32</v>
      </c>
      <c r="B89" s="5">
        <v>2015</v>
      </c>
      <c r="C89" s="5" t="s">
        <v>40</v>
      </c>
      <c r="D89" s="21">
        <f t="shared" si="20"/>
        <v>42125</v>
      </c>
      <c r="E89" s="4">
        <f>AVERAGE(All_India_Index_Upto_April23__1___1[[#This Row],[Cereals and products]:[Food and beverages]])</f>
        <v>122.9923076923077</v>
      </c>
      <c r="F89" s="5">
        <f>AVERAGE(All_India_Index_Upto_April23__1___1[[#This Row],[Pan, tobacco and intoxicants]])</f>
        <v>131.30000000000001</v>
      </c>
      <c r="G89" s="4">
        <f>AVERAGE(All_India_Index_Upto_April23__1___1[[#This Row],[Clothing]:[Clothing and footwear]])</f>
        <v>120.46666666666665</v>
      </c>
      <c r="H89" s="5">
        <f>AVERAGE(All_India_Index_Upto_April23__1___1[[#This Row],[Housing]:[Fuel and light]])</f>
        <v>114.9</v>
      </c>
      <c r="I89" s="5">
        <f>AVERAGE(All_India_Index_Upto_April23__1___1[[#This Row],[Household goods and services]:[Health]])</f>
        <v>116.80000000000001</v>
      </c>
      <c r="J89" s="5">
        <f>AVERAGE(All_India_Index_Upto_April23__1___1[[#This Row],[Transport and communication]])</f>
        <v>110.8</v>
      </c>
      <c r="K89" s="5">
        <f>AVERAGE(All_India_Index_Upto_April23__1___1[[#This Row],[Recreation and amusement]])</f>
        <v>116</v>
      </c>
      <c r="L89" s="5">
        <f>AVERAGE(All_India_Index_Upto_April23__1___1[[#This Row],[Education]])</f>
        <v>122</v>
      </c>
      <c r="M89" s="5">
        <f>AVERAGE(All_India_Index_Upto_April23__1___1[[#This Row],[Personal care and effects]])</f>
        <v>112.4</v>
      </c>
      <c r="N89" s="5">
        <f>AVERAGE(All_India_Index_Upto_April23__1___1[[#This Row],[Miscellaneous]])</f>
        <v>115.2</v>
      </c>
      <c r="O89" s="5">
        <f>AVERAGE(All_India_Index_Upto_April23__1___1[[#This Row],[General index]])</f>
        <v>120.7</v>
      </c>
      <c r="P89" s="2">
        <f t="shared" si="30"/>
        <v>1067.6589743589743</v>
      </c>
      <c r="R89" s="10">
        <f t="shared" si="21"/>
        <v>11.519812097880099</v>
      </c>
      <c r="S89" s="10">
        <f t="shared" si="22"/>
        <v>12.297934373551529</v>
      </c>
      <c r="T89" s="10">
        <f t="shared" si="23"/>
        <v>11.283253319628134</v>
      </c>
      <c r="U89" s="10">
        <f t="shared" si="24"/>
        <v>10.761863362689038</v>
      </c>
      <c r="V89" s="10">
        <f t="shared" si="25"/>
        <v>10.939822809069449</v>
      </c>
      <c r="W89" s="10">
        <f t="shared" si="26"/>
        <v>10.377845609973415</v>
      </c>
      <c r="X89" s="10">
        <f t="shared" si="27"/>
        <v>10.864892515856644</v>
      </c>
      <c r="Y89" s="10">
        <f t="shared" si="28"/>
        <v>11.426869714952677</v>
      </c>
      <c r="Z89" s="10">
        <f t="shared" si="29"/>
        <v>10.527706196399023</v>
      </c>
    </row>
    <row r="90" spans="1:26" hidden="1" x14ac:dyDescent="0.3">
      <c r="A90" s="6" t="s">
        <v>34</v>
      </c>
      <c r="B90" s="6">
        <v>2015</v>
      </c>
      <c r="C90" s="6" t="s">
        <v>40</v>
      </c>
      <c r="D90" s="21">
        <f t="shared" si="20"/>
        <v>42125</v>
      </c>
      <c r="E90" s="4">
        <f>AVERAGE(All_India_Index_Upto_April23__1___1[[#This Row],[Cereals and products]:[Food and beverages]])</f>
        <v>122.33846153846154</v>
      </c>
      <c r="F90" s="5">
        <f>AVERAGE(All_India_Index_Upto_April23__1___1[[#This Row],[Pan, tobacco and intoxicants]])</f>
        <v>127.9</v>
      </c>
      <c r="G90" s="4">
        <f>AVERAGE(All_India_Index_Upto_April23__1___1[[#This Row],[Clothing]:[Clothing and footwear]])</f>
        <v>123.8</v>
      </c>
      <c r="H90" s="5">
        <f>AVERAGE(All_India_Index_Upto_April23__1___1[[#This Row],[Housing]:[Fuel and light]])</f>
        <v>119.2</v>
      </c>
      <c r="I90" s="5">
        <f>AVERAGE(All_India_Index_Upto_April23__1___1[[#This Row],[Household goods and services]:[Health]])</f>
        <v>118.95</v>
      </c>
      <c r="J90" s="5">
        <f>AVERAGE(All_India_Index_Upto_April23__1___1[[#This Row],[Transport and communication]])</f>
        <v>112</v>
      </c>
      <c r="K90" s="5">
        <f>AVERAGE(All_India_Index_Upto_April23__1___1[[#This Row],[Recreation and amusement]])</f>
        <v>116.3</v>
      </c>
      <c r="L90" s="5">
        <f>AVERAGE(All_India_Index_Upto_April23__1___1[[#This Row],[Education]])</f>
        <v>121.4</v>
      </c>
      <c r="M90" s="5">
        <f>AVERAGE(All_India_Index_Upto_April23__1___1[[#This Row],[Personal care and effects]])</f>
        <v>112.3</v>
      </c>
      <c r="N90" s="5">
        <f>AVERAGE(All_India_Index_Upto_April23__1___1[[#This Row],[Miscellaneous]])</f>
        <v>116.1</v>
      </c>
      <c r="O90" s="5">
        <f>AVERAGE(All_India_Index_Upto_April23__1___1[[#This Row],[General index]])</f>
        <v>121.6</v>
      </c>
      <c r="P90" s="2">
        <f>AVERAGE(E90:N90)</f>
        <v>119.02884615384615</v>
      </c>
      <c r="R90" s="10">
        <f t="shared" si="21"/>
        <v>102.7805153889652</v>
      </c>
      <c r="S90" s="10">
        <f t="shared" si="22"/>
        <v>107.45294450278699</v>
      </c>
      <c r="T90" s="10">
        <f t="shared" si="23"/>
        <v>104.00840132482429</v>
      </c>
      <c r="U90" s="10">
        <f t="shared" si="24"/>
        <v>100.14379190564667</v>
      </c>
      <c r="V90" s="10">
        <f t="shared" si="25"/>
        <v>99.933758785039188</v>
      </c>
      <c r="W90" s="10">
        <f t="shared" si="26"/>
        <v>94.09483803215123</v>
      </c>
      <c r="X90" s="10">
        <f t="shared" si="27"/>
        <v>97.707407706599895</v>
      </c>
      <c r="Y90" s="10">
        <f t="shared" si="28"/>
        <v>101.9920833669925</v>
      </c>
      <c r="Z90" s="10">
        <f t="shared" si="29"/>
        <v>94.346877776880206</v>
      </c>
    </row>
    <row r="91" spans="1:26" hidden="1" x14ac:dyDescent="0.3">
      <c r="A91" s="5" t="s">
        <v>30</v>
      </c>
      <c r="B91" s="5">
        <v>2015</v>
      </c>
      <c r="C91" s="5" t="s">
        <v>41</v>
      </c>
      <c r="D91" s="21">
        <f t="shared" si="20"/>
        <v>42156</v>
      </c>
      <c r="E91" s="4">
        <f>AVERAGE(All_India_Index_Upto_April23__1___1[[#This Row],[Cereals and products]:[Food and beverages]])</f>
        <v>124.45384615384614</v>
      </c>
      <c r="F91" s="5">
        <f>AVERAGE(All_India_Index_Upto_April23__1___1[[#This Row],[Pan, tobacco and intoxicants]])</f>
        <v>128.19999999999999</v>
      </c>
      <c r="G91" s="4">
        <f>AVERAGE(All_India_Index_Upto_April23__1___1[[#This Row],[Clothing]:[Clothing and footwear]])</f>
        <v>127.16666666666667</v>
      </c>
      <c r="H91" s="5">
        <f>AVERAGE(All_India_Index_Upto_April23__1___1[[#This Row],[Housing]:[Fuel and light]])</f>
        <v>122.6</v>
      </c>
      <c r="I91" s="5">
        <f>AVERAGE(All_India_Index_Upto_April23__1___1[[#This Row],[Household goods and services]:[Health]])</f>
        <v>121.6</v>
      </c>
      <c r="J91" s="5">
        <f>AVERAGE(All_India_Index_Upto_April23__1___1[[#This Row],[Transport and communication]])</f>
        <v>114.2</v>
      </c>
      <c r="K91" s="5">
        <f>AVERAGE(All_India_Index_Upto_April23__1___1[[#This Row],[Recreation and amusement]])</f>
        <v>117.9</v>
      </c>
      <c r="L91" s="5">
        <f>AVERAGE(All_India_Index_Upto_April23__1___1[[#This Row],[Education]])</f>
        <v>122</v>
      </c>
      <c r="M91" s="5">
        <f>AVERAGE(All_India_Index_Upto_April23__1___1[[#This Row],[Personal care and effects]])</f>
        <v>113</v>
      </c>
      <c r="N91" s="5">
        <f>AVERAGE(All_India_Index_Upto_April23__1___1[[#This Row],[Miscellaneous]])</f>
        <v>117.9</v>
      </c>
      <c r="O91" s="5">
        <f>AVERAGE(All_India_Index_Upto_April23__1___1[[#This Row],[General index]])</f>
        <v>124.1</v>
      </c>
      <c r="P91" s="2">
        <f t="shared" si="30"/>
        <v>1091.1205128205129</v>
      </c>
      <c r="R91" s="10">
        <f t="shared" si="21"/>
        <v>11.406058697598562</v>
      </c>
      <c r="S91" s="10">
        <f t="shared" si="22"/>
        <v>11.749389594794341</v>
      </c>
      <c r="T91" s="10">
        <f t="shared" si="23"/>
        <v>11.654685726505567</v>
      </c>
      <c r="U91" s="10">
        <f t="shared" si="24"/>
        <v>11.23615572793905</v>
      </c>
      <c r="V91" s="10">
        <f t="shared" si="25"/>
        <v>11.144506823143461</v>
      </c>
      <c r="W91" s="10">
        <f t="shared" si="26"/>
        <v>10.466304927656115</v>
      </c>
      <c r="X91" s="10">
        <f t="shared" si="27"/>
        <v>10.805405875399789</v>
      </c>
      <c r="Y91" s="10">
        <f t="shared" si="28"/>
        <v>11.181166385061699</v>
      </c>
      <c r="Z91" s="10">
        <f t="shared" si="29"/>
        <v>10.356326241901408</v>
      </c>
    </row>
    <row r="92" spans="1:26" hidden="1" x14ac:dyDescent="0.3">
      <c r="A92" s="6" t="s">
        <v>32</v>
      </c>
      <c r="B92" s="6">
        <v>2015</v>
      </c>
      <c r="C92" s="6" t="s">
        <v>41</v>
      </c>
      <c r="D92" s="21">
        <f t="shared" si="20"/>
        <v>42156</v>
      </c>
      <c r="E92" s="4">
        <f>AVERAGE(All_India_Index_Upto_April23__1___1[[#This Row],[Cereals and products]:[Food and beverages]])</f>
        <v>125.89230769230768</v>
      </c>
      <c r="F92" s="5">
        <f>AVERAGE(All_India_Index_Upto_April23__1___1[[#This Row],[Pan, tobacco and intoxicants]])</f>
        <v>132.1</v>
      </c>
      <c r="G92" s="4">
        <f>AVERAGE(All_India_Index_Upto_April23__1___1[[#This Row],[Clothing]:[Clothing and footwear]])</f>
        <v>121.03333333333335</v>
      </c>
      <c r="H92" s="5">
        <f>AVERAGE(All_India_Index_Upto_April23__1___1[[#This Row],[Housing]:[Fuel and light]])</f>
        <v>115.1</v>
      </c>
      <c r="I92" s="5">
        <f>AVERAGE(All_India_Index_Upto_April23__1___1[[#This Row],[Household goods and services]:[Health]])</f>
        <v>117.30000000000001</v>
      </c>
      <c r="J92" s="5">
        <f>AVERAGE(All_India_Index_Upto_April23__1___1[[#This Row],[Transport and communication]])</f>
        <v>111.7</v>
      </c>
      <c r="K92" s="5">
        <f>AVERAGE(All_India_Index_Upto_April23__1___1[[#This Row],[Recreation and amusement]])</f>
        <v>116.2</v>
      </c>
      <c r="L92" s="5">
        <f>AVERAGE(All_India_Index_Upto_April23__1___1[[#This Row],[Education]])</f>
        <v>123.8</v>
      </c>
      <c r="M92" s="5">
        <f>AVERAGE(All_India_Index_Upto_April23__1___1[[#This Row],[Personal care and effects]])</f>
        <v>112.5</v>
      </c>
      <c r="N92" s="5">
        <f>AVERAGE(All_India_Index_Upto_April23__1___1[[#This Row],[Miscellaneous]])</f>
        <v>116</v>
      </c>
      <c r="O92" s="5">
        <f>AVERAGE(All_India_Index_Upto_April23__1___1[[#This Row],[General index]])</f>
        <v>121.7</v>
      </c>
      <c r="P92" s="2">
        <f t="shared" si="30"/>
        <v>1075.625641025641</v>
      </c>
      <c r="R92" s="10">
        <f t="shared" si="21"/>
        <v>11.704100654598157</v>
      </c>
      <c r="S92" s="10">
        <f t="shared" si="22"/>
        <v>12.281224522877562</v>
      </c>
      <c r="T92" s="10">
        <f t="shared" si="23"/>
        <v>11.252365945639271</v>
      </c>
      <c r="U92" s="10">
        <f t="shared" si="24"/>
        <v>10.700748997601872</v>
      </c>
      <c r="V92" s="10">
        <f t="shared" si="25"/>
        <v>10.905281124402256</v>
      </c>
      <c r="W92" s="10">
        <f t="shared" si="26"/>
        <v>10.384653892546735</v>
      </c>
      <c r="X92" s="10">
        <f t="shared" si="27"/>
        <v>10.803015061002066</v>
      </c>
      <c r="Y92" s="10">
        <f t="shared" si="28"/>
        <v>11.509580589948843</v>
      </c>
      <c r="Z92" s="10">
        <f t="shared" si="29"/>
        <v>10.459029211383237</v>
      </c>
    </row>
    <row r="93" spans="1:26" hidden="1" x14ac:dyDescent="0.3">
      <c r="A93" s="5" t="s">
        <v>34</v>
      </c>
      <c r="B93" s="5">
        <v>2015</v>
      </c>
      <c r="C93" s="5" t="s">
        <v>41</v>
      </c>
      <c r="D93" s="21">
        <f t="shared" si="20"/>
        <v>42156</v>
      </c>
      <c r="E93" s="4">
        <f>AVERAGE(All_India_Index_Upto_April23__1___1[[#This Row],[Cereals and products]:[Food and beverages]])</f>
        <v>124.88461538461539</v>
      </c>
      <c r="F93" s="5">
        <f>AVERAGE(All_India_Index_Upto_April23__1___1[[#This Row],[Pan, tobacco and intoxicants]])</f>
        <v>129.19999999999999</v>
      </c>
      <c r="G93" s="4">
        <f>AVERAGE(All_India_Index_Upto_April23__1___1[[#This Row],[Clothing]:[Clothing and footwear]])</f>
        <v>124.7</v>
      </c>
      <c r="H93" s="5">
        <f>AVERAGE(All_India_Index_Upto_April23__1___1[[#This Row],[Housing]:[Fuel and light]])</f>
        <v>119.8</v>
      </c>
      <c r="I93" s="5">
        <f>AVERAGE(All_India_Index_Upto_April23__1___1[[#This Row],[Household goods and services]:[Health]])</f>
        <v>119.8</v>
      </c>
      <c r="J93" s="5">
        <f>AVERAGE(All_India_Index_Upto_April23__1___1[[#This Row],[Transport and communication]])</f>
        <v>112.9</v>
      </c>
      <c r="K93" s="5">
        <f>AVERAGE(All_India_Index_Upto_April23__1___1[[#This Row],[Recreation and amusement]])</f>
        <v>116.9</v>
      </c>
      <c r="L93" s="5">
        <f>AVERAGE(All_India_Index_Upto_April23__1___1[[#This Row],[Education]])</f>
        <v>123.1</v>
      </c>
      <c r="M93" s="5">
        <f>AVERAGE(All_India_Index_Upto_April23__1___1[[#This Row],[Personal care and effects]])</f>
        <v>112.8</v>
      </c>
      <c r="N93" s="5">
        <f>AVERAGE(All_India_Index_Upto_April23__1___1[[#This Row],[Miscellaneous]])</f>
        <v>117</v>
      </c>
      <c r="O93" s="5">
        <f>AVERAGE(All_India_Index_Upto_April23__1___1[[#This Row],[General index]])</f>
        <v>123</v>
      </c>
      <c r="P93" s="2">
        <f>AVERAGE(E93:N93)</f>
        <v>120.10846153846153</v>
      </c>
      <c r="R93" s="10">
        <f t="shared" si="21"/>
        <v>103.97653403013945</v>
      </c>
      <c r="S93" s="10">
        <f t="shared" si="22"/>
        <v>107.56944044165211</v>
      </c>
      <c r="T93" s="10">
        <f t="shared" si="23"/>
        <v>103.82282680397847</v>
      </c>
      <c r="U93" s="10">
        <f t="shared" si="24"/>
        <v>99.743180842956065</v>
      </c>
      <c r="V93" s="10">
        <f t="shared" si="25"/>
        <v>99.743180842956065</v>
      </c>
      <c r="W93" s="10">
        <f t="shared" si="26"/>
        <v>93.998373265189812</v>
      </c>
      <c r="X93" s="10">
        <f t="shared" si="27"/>
        <v>97.328696498677488</v>
      </c>
      <c r="Y93" s="10">
        <f t="shared" si="28"/>
        <v>102.4906975105834</v>
      </c>
      <c r="Z93" s="10">
        <f t="shared" si="29"/>
        <v>93.915115184352615</v>
      </c>
    </row>
    <row r="94" spans="1:26" hidden="1" x14ac:dyDescent="0.3">
      <c r="A94" s="6" t="s">
        <v>30</v>
      </c>
      <c r="B94" s="6">
        <v>2015</v>
      </c>
      <c r="C94" s="6" t="s">
        <v>43</v>
      </c>
      <c r="D94" s="21">
        <f t="shared" si="20"/>
        <v>42186</v>
      </c>
      <c r="E94" s="4">
        <f>AVERAGE(All_India_Index_Upto_April23__1___1[[#This Row],[Cereals and products]:[Food and beverages]])</f>
        <v>125.02307692307691</v>
      </c>
      <c r="F94" s="5">
        <f>AVERAGE(All_India_Index_Upto_April23__1___1[[#This Row],[Pan, tobacco and intoxicants]])</f>
        <v>129.4</v>
      </c>
      <c r="G94" s="4">
        <f>AVERAGE(All_India_Index_Upto_April23__1___1[[#This Row],[Clothing]:[Clothing and footwear]])</f>
        <v>127.53333333333335</v>
      </c>
      <c r="H94" s="5">
        <f>AVERAGE(All_India_Index_Upto_April23__1___1[[#This Row],[Housing]:[Fuel and light]])</f>
        <v>123</v>
      </c>
      <c r="I94" s="5">
        <f>AVERAGE(All_India_Index_Upto_April23__1___1[[#This Row],[Household goods and services]:[Health]])</f>
        <v>121.9</v>
      </c>
      <c r="J94" s="5">
        <f>AVERAGE(All_India_Index_Upto_April23__1___1[[#This Row],[Transport and communication]])</f>
        <v>114.1</v>
      </c>
      <c r="K94" s="5">
        <f>AVERAGE(All_India_Index_Upto_April23__1___1[[#This Row],[Recreation and amusement]])</f>
        <v>118</v>
      </c>
      <c r="L94" s="5">
        <f>AVERAGE(All_India_Index_Upto_April23__1___1[[#This Row],[Education]])</f>
        <v>122.9</v>
      </c>
      <c r="M94" s="5">
        <f>AVERAGE(All_India_Index_Upto_April23__1___1[[#This Row],[Personal care and effects]])</f>
        <v>112.7</v>
      </c>
      <c r="N94" s="5">
        <f>AVERAGE(All_India_Index_Upto_April23__1___1[[#This Row],[Miscellaneous]])</f>
        <v>118.1</v>
      </c>
      <c r="O94" s="5">
        <f>AVERAGE(All_India_Index_Upto_April23__1___1[[#This Row],[General index]])</f>
        <v>124.7</v>
      </c>
      <c r="P94" s="2">
        <f t="shared" si="30"/>
        <v>1094.5564102564103</v>
      </c>
      <c r="R94" s="10">
        <f t="shared" si="21"/>
        <v>11.422259807860343</v>
      </c>
      <c r="S94" s="10">
        <f t="shared" si="22"/>
        <v>11.822140804025514</v>
      </c>
      <c r="T94" s="10">
        <f t="shared" si="23"/>
        <v>11.651599875373938</v>
      </c>
      <c r="U94" s="10">
        <f t="shared" si="24"/>
        <v>11.237429048648673</v>
      </c>
      <c r="V94" s="10">
        <f t="shared" si="25"/>
        <v>11.136931715693279</v>
      </c>
      <c r="W94" s="10">
        <f t="shared" si="26"/>
        <v>10.424314263827753</v>
      </c>
      <c r="X94" s="10">
        <f t="shared" si="27"/>
        <v>10.780622989760516</v>
      </c>
      <c r="Y94" s="10">
        <f t="shared" si="28"/>
        <v>11.22829292747091</v>
      </c>
      <c r="Z94" s="10">
        <f t="shared" si="29"/>
        <v>10.29640856733907</v>
      </c>
    </row>
    <row r="95" spans="1:26" hidden="1" x14ac:dyDescent="0.3">
      <c r="A95" s="5" t="s">
        <v>32</v>
      </c>
      <c r="B95" s="5">
        <v>2015</v>
      </c>
      <c r="C95" s="5" t="s">
        <v>43</v>
      </c>
      <c r="D95" s="21">
        <f t="shared" si="20"/>
        <v>42186</v>
      </c>
      <c r="E95" s="4">
        <f>AVERAGE(All_India_Index_Upto_April23__1___1[[#This Row],[Cereals and products]:[Food and beverages]])</f>
        <v>126.37692307692306</v>
      </c>
      <c r="F95" s="5">
        <f>AVERAGE(All_India_Index_Upto_April23__1___1[[#This Row],[Pan, tobacco and intoxicants]])</f>
        <v>133.1</v>
      </c>
      <c r="G95" s="4">
        <f>AVERAGE(All_India_Index_Upto_April23__1___1[[#This Row],[Clothing]:[Clothing and footwear]])</f>
        <v>121.36666666666667</v>
      </c>
      <c r="H95" s="5">
        <f>AVERAGE(All_India_Index_Upto_April23__1___1[[#This Row],[Housing]:[Fuel and light]])</f>
        <v>115.3</v>
      </c>
      <c r="I95" s="5">
        <f>AVERAGE(All_India_Index_Upto_April23__1___1[[#This Row],[Household goods and services]:[Health]])</f>
        <v>117.75</v>
      </c>
      <c r="J95" s="5">
        <f>AVERAGE(All_India_Index_Upto_April23__1___1[[#This Row],[Transport and communication]])</f>
        <v>111.5</v>
      </c>
      <c r="K95" s="5">
        <f>AVERAGE(All_India_Index_Upto_April23__1___1[[#This Row],[Recreation and amusement]])</f>
        <v>116.6</v>
      </c>
      <c r="L95" s="5">
        <f>AVERAGE(All_India_Index_Upto_April23__1___1[[#This Row],[Education]])</f>
        <v>125.4</v>
      </c>
      <c r="M95" s="5">
        <f>AVERAGE(All_India_Index_Upto_April23__1___1[[#This Row],[Personal care and effects]])</f>
        <v>111.7</v>
      </c>
      <c r="N95" s="5">
        <f>AVERAGE(All_India_Index_Upto_April23__1___1[[#This Row],[Miscellaneous]])</f>
        <v>116.3</v>
      </c>
      <c r="O95" s="5">
        <f>AVERAGE(All_India_Index_Upto_April23__1___1[[#This Row],[General index]])</f>
        <v>122.4</v>
      </c>
      <c r="P95" s="2">
        <f t="shared" si="30"/>
        <v>1079.0935897435897</v>
      </c>
      <c r="R95" s="10">
        <f t="shared" si="21"/>
        <v>11.711395960284806</v>
      </c>
      <c r="S95" s="10">
        <f t="shared" si="22"/>
        <v>12.334425972415119</v>
      </c>
      <c r="T95" s="10">
        <f t="shared" si="23"/>
        <v>11.247093655287618</v>
      </c>
      <c r="U95" s="10">
        <f t="shared" si="24"/>
        <v>10.684893423136463</v>
      </c>
      <c r="V95" s="10">
        <f t="shared" si="25"/>
        <v>10.911935824582123</v>
      </c>
      <c r="W95" s="10">
        <f t="shared" si="26"/>
        <v>10.332746024975851</v>
      </c>
      <c r="X95" s="10">
        <f t="shared" si="27"/>
        <v>10.805364901454567</v>
      </c>
      <c r="Y95" s="10">
        <f t="shared" si="28"/>
        <v>11.620864139300197</v>
      </c>
      <c r="Z95" s="10">
        <f t="shared" si="29"/>
        <v>10.351280098563254</v>
      </c>
    </row>
    <row r="96" spans="1:26" hidden="1" x14ac:dyDescent="0.3">
      <c r="A96" s="6" t="s">
        <v>34</v>
      </c>
      <c r="B96" s="6">
        <v>2015</v>
      </c>
      <c r="C96" s="6" t="s">
        <v>43</v>
      </c>
      <c r="D96" s="21">
        <f t="shared" si="20"/>
        <v>42186</v>
      </c>
      <c r="E96" s="4">
        <f>AVERAGE(All_India_Index_Upto_April23__1___1[[#This Row],[Cereals and products]:[Food and beverages]])</f>
        <v>125.43076923076924</v>
      </c>
      <c r="F96" s="5">
        <f>AVERAGE(All_India_Index_Upto_April23__1___1[[#This Row],[Pan, tobacco and intoxicants]])</f>
        <v>130.4</v>
      </c>
      <c r="G96" s="4">
        <f>AVERAGE(All_India_Index_Upto_April23__1___1[[#This Row],[Clothing]:[Clothing and footwear]])</f>
        <v>125.03333333333335</v>
      </c>
      <c r="H96" s="5">
        <f>AVERAGE(All_India_Index_Upto_April23__1___1[[#This Row],[Housing]:[Fuel and light]])</f>
        <v>120.1</v>
      </c>
      <c r="I96" s="5">
        <f>AVERAGE(All_India_Index_Upto_April23__1___1[[#This Row],[Household goods and services]:[Health]])</f>
        <v>120.15</v>
      </c>
      <c r="J96" s="5">
        <f>AVERAGE(All_India_Index_Upto_April23__1___1[[#This Row],[Transport and communication]])</f>
        <v>112.7</v>
      </c>
      <c r="K96" s="5">
        <f>AVERAGE(All_India_Index_Upto_April23__1___1[[#This Row],[Recreation and amusement]])</f>
        <v>117.2</v>
      </c>
      <c r="L96" s="5">
        <f>AVERAGE(All_India_Index_Upto_April23__1___1[[#This Row],[Education]])</f>
        <v>124.4</v>
      </c>
      <c r="M96" s="5">
        <f>AVERAGE(All_India_Index_Upto_April23__1___1[[#This Row],[Personal care and effects]])</f>
        <v>112.3</v>
      </c>
      <c r="N96" s="5">
        <f>AVERAGE(All_India_Index_Upto_April23__1___1[[#This Row],[Miscellaneous]])</f>
        <v>117.2</v>
      </c>
      <c r="O96" s="5">
        <f>AVERAGE(All_India_Index_Upto_April23__1___1[[#This Row],[General index]])</f>
        <v>123.6</v>
      </c>
      <c r="P96" s="2">
        <f>AVERAGE(E96:N96)</f>
        <v>120.49141025641026</v>
      </c>
      <c r="R96" s="10">
        <f t="shared" si="21"/>
        <v>104.09934530921983</v>
      </c>
      <c r="S96" s="10">
        <f t="shared" si="22"/>
        <v>108.22348225695416</v>
      </c>
      <c r="T96" s="10">
        <f t="shared" si="23"/>
        <v>103.76949947490672</v>
      </c>
      <c r="U96" s="10">
        <f t="shared" si="24"/>
        <v>99.675155054142579</v>
      </c>
      <c r="V96" s="10">
        <f t="shared" si="25"/>
        <v>99.716651788136829</v>
      </c>
      <c r="W96" s="10">
        <f t="shared" si="26"/>
        <v>93.533638422996418</v>
      </c>
      <c r="X96" s="10">
        <f t="shared" si="27"/>
        <v>97.268344482477204</v>
      </c>
      <c r="Y96" s="10">
        <f t="shared" si="28"/>
        <v>103.24387417764645</v>
      </c>
      <c r="Z96" s="10">
        <f t="shared" si="29"/>
        <v>93.201664551042569</v>
      </c>
    </row>
    <row r="97" spans="1:26" hidden="1" x14ac:dyDescent="0.3">
      <c r="A97" s="5" t="s">
        <v>30</v>
      </c>
      <c r="B97" s="5">
        <v>2015</v>
      </c>
      <c r="C97" s="5" t="s">
        <v>45</v>
      </c>
      <c r="D97" s="21">
        <f t="shared" si="20"/>
        <v>42217</v>
      </c>
      <c r="E97" s="4">
        <f>AVERAGE(All_India_Index_Upto_April23__1___1[[#This Row],[Cereals and products]:[Food and beverages]])</f>
        <v>126.66153846153846</v>
      </c>
      <c r="F97" s="5">
        <f>AVERAGE(All_India_Index_Upto_April23__1___1[[#This Row],[Pan, tobacco and intoxicants]])</f>
        <v>130.1</v>
      </c>
      <c r="G97" s="4">
        <f>AVERAGE(All_India_Index_Upto_April23__1___1[[#This Row],[Clothing]:[Clothing and footwear]])</f>
        <v>128.26666666666668</v>
      </c>
      <c r="H97" s="5">
        <f>AVERAGE(All_India_Index_Upto_April23__1___1[[#This Row],[Housing]:[Fuel and light]])</f>
        <v>123.8</v>
      </c>
      <c r="I97" s="5">
        <f>AVERAGE(All_India_Index_Upto_April23__1___1[[#This Row],[Household goods and services]:[Health]])</f>
        <v>122.4</v>
      </c>
      <c r="J97" s="5">
        <f>AVERAGE(All_India_Index_Upto_April23__1___1[[#This Row],[Transport and communication]])</f>
        <v>113.6</v>
      </c>
      <c r="K97" s="5">
        <f>AVERAGE(All_India_Index_Upto_April23__1___1[[#This Row],[Recreation and amusement]])</f>
        <v>118.5</v>
      </c>
      <c r="L97" s="5">
        <f>AVERAGE(All_India_Index_Upto_April23__1___1[[#This Row],[Education]])</f>
        <v>123.6</v>
      </c>
      <c r="M97" s="5">
        <f>AVERAGE(All_India_Index_Upto_April23__1___1[[#This Row],[Personal care and effects]])</f>
        <v>112.5</v>
      </c>
      <c r="N97" s="5">
        <f>AVERAGE(All_India_Index_Upto_April23__1___1[[#This Row],[Miscellaneous]])</f>
        <v>118.2</v>
      </c>
      <c r="O97" s="5">
        <f>AVERAGE(All_India_Index_Upto_April23__1___1[[#This Row],[General index]])</f>
        <v>126.1</v>
      </c>
      <c r="P97" s="2">
        <f t="shared" si="30"/>
        <v>1099.4282051282053</v>
      </c>
      <c r="R97" s="10">
        <f t="shared" si="21"/>
        <v>11.520673916744599</v>
      </c>
      <c r="S97" s="10">
        <f t="shared" si="22"/>
        <v>11.833423901002151</v>
      </c>
      <c r="T97" s="10">
        <f t="shared" si="23"/>
        <v>11.666670553691079</v>
      </c>
      <c r="U97" s="10">
        <f t="shared" si="24"/>
        <v>11.260398762060465</v>
      </c>
      <c r="V97" s="10">
        <f t="shared" si="25"/>
        <v>11.133059842295644</v>
      </c>
      <c r="W97" s="10">
        <f t="shared" si="26"/>
        <v>10.332643775202492</v>
      </c>
      <c r="X97" s="10">
        <f t="shared" si="27"/>
        <v>10.77832999437936</v>
      </c>
      <c r="Y97" s="10">
        <f t="shared" si="28"/>
        <v>11.242207487808347</v>
      </c>
      <c r="Z97" s="10">
        <f t="shared" si="29"/>
        <v>10.232591766815849</v>
      </c>
    </row>
    <row r="98" spans="1:26" hidden="1" x14ac:dyDescent="0.3">
      <c r="A98" s="6" t="s">
        <v>32</v>
      </c>
      <c r="B98" s="6">
        <v>2015</v>
      </c>
      <c r="C98" s="6" t="s">
        <v>45</v>
      </c>
      <c r="D98" s="21">
        <f t="shared" si="20"/>
        <v>42217</v>
      </c>
      <c r="E98" s="4">
        <f>AVERAGE(All_India_Index_Upto_April23__1___1[[#This Row],[Cereals and products]:[Food and beverages]])</f>
        <v>127.6076923076923</v>
      </c>
      <c r="F98" s="5">
        <f>AVERAGE(All_India_Index_Upto_April23__1___1[[#This Row],[Pan, tobacco and intoxicants]])</f>
        <v>134.19999999999999</v>
      </c>
      <c r="G98" s="4">
        <f>AVERAGE(All_India_Index_Upto_April23__1___1[[#This Row],[Clothing]:[Clothing and footwear]])</f>
        <v>121.60000000000001</v>
      </c>
      <c r="H98" s="5">
        <f>AVERAGE(All_India_Index_Upto_April23__1___1[[#This Row],[Housing]:[Fuel and light]])</f>
        <v>115.3</v>
      </c>
      <c r="I98" s="5">
        <f>AVERAGE(All_India_Index_Upto_April23__1___1[[#This Row],[Household goods and services]:[Health]])</f>
        <v>118.3</v>
      </c>
      <c r="J98" s="5">
        <f>AVERAGE(All_India_Index_Upto_April23__1___1[[#This Row],[Transport and communication]])</f>
        <v>109.9</v>
      </c>
      <c r="K98" s="5">
        <f>AVERAGE(All_India_Index_Upto_April23__1___1[[#This Row],[Recreation and amusement]])</f>
        <v>117.2</v>
      </c>
      <c r="L98" s="5">
        <f>AVERAGE(All_India_Index_Upto_April23__1___1[[#This Row],[Education]])</f>
        <v>126.2</v>
      </c>
      <c r="M98" s="5">
        <f>AVERAGE(All_India_Index_Upto_April23__1___1[[#This Row],[Personal care and effects]])</f>
        <v>112</v>
      </c>
      <c r="N98" s="5">
        <f>AVERAGE(All_India_Index_Upto_April23__1___1[[#This Row],[Miscellaneous]])</f>
        <v>116.2</v>
      </c>
      <c r="O98" s="5">
        <f>AVERAGE(All_India_Index_Upto_April23__1___1[[#This Row],[General index]])</f>
        <v>123.2</v>
      </c>
      <c r="P98" s="2">
        <f t="shared" si="30"/>
        <v>1082.3076923076924</v>
      </c>
      <c r="R98" s="10">
        <f t="shared" si="21"/>
        <v>11.790334044065386</v>
      </c>
      <c r="S98" s="10">
        <f t="shared" si="22"/>
        <v>12.399431414356785</v>
      </c>
      <c r="T98" s="10">
        <f t="shared" si="23"/>
        <v>11.235252309879176</v>
      </c>
      <c r="U98" s="10">
        <f t="shared" si="24"/>
        <v>10.65316275764037</v>
      </c>
      <c r="V98" s="10">
        <f t="shared" si="25"/>
        <v>10.930348258706466</v>
      </c>
      <c r="W98" s="10">
        <f t="shared" si="26"/>
        <v>10.154228855721392</v>
      </c>
      <c r="X98" s="10">
        <f t="shared" si="27"/>
        <v>10.828713574982231</v>
      </c>
      <c r="Y98" s="10">
        <f t="shared" si="28"/>
        <v>11.660270078180526</v>
      </c>
      <c r="Z98" s="10">
        <f t="shared" si="29"/>
        <v>10.348258706467661</v>
      </c>
    </row>
    <row r="99" spans="1:26" hidden="1" x14ac:dyDescent="0.3">
      <c r="A99" s="5" t="s">
        <v>34</v>
      </c>
      <c r="B99" s="5">
        <v>2015</v>
      </c>
      <c r="C99" s="5" t="s">
        <v>45</v>
      </c>
      <c r="D99" s="21">
        <f t="shared" si="20"/>
        <v>42217</v>
      </c>
      <c r="E99" s="4">
        <f>AVERAGE(All_India_Index_Upto_April23__1___1[[#This Row],[Cereals and products]:[Food and beverages]])</f>
        <v>126.89230769230768</v>
      </c>
      <c r="F99" s="5">
        <f>AVERAGE(All_India_Index_Upto_April23__1___1[[#This Row],[Pan, tobacco and intoxicants]])</f>
        <v>131.19999999999999</v>
      </c>
      <c r="G99" s="4">
        <f>AVERAGE(All_India_Index_Upto_April23__1___1[[#This Row],[Clothing]:[Clothing and footwear]])</f>
        <v>125.56666666666668</v>
      </c>
      <c r="H99" s="5">
        <f>AVERAGE(All_India_Index_Upto_April23__1___1[[#This Row],[Housing]:[Fuel and light]])</f>
        <v>120.6</v>
      </c>
      <c r="I99" s="5">
        <f>AVERAGE(All_India_Index_Upto_April23__1___1[[#This Row],[Household goods and services]:[Health]])</f>
        <v>120.7</v>
      </c>
      <c r="J99" s="5">
        <f>AVERAGE(All_India_Index_Upto_April23__1___1[[#This Row],[Transport and communication]])</f>
        <v>111.7</v>
      </c>
      <c r="K99" s="5">
        <f>AVERAGE(All_India_Index_Upto_April23__1___1[[#This Row],[Recreation and amusement]])</f>
        <v>117.8</v>
      </c>
      <c r="L99" s="5">
        <f>AVERAGE(All_India_Index_Upto_April23__1___1[[#This Row],[Education]])</f>
        <v>125.1</v>
      </c>
      <c r="M99" s="5">
        <f>AVERAGE(All_India_Index_Upto_April23__1___1[[#This Row],[Personal care and effects]])</f>
        <v>112.3</v>
      </c>
      <c r="N99" s="5">
        <f>AVERAGE(All_India_Index_Upto_April23__1___1[[#This Row],[Miscellaneous]])</f>
        <v>117.2</v>
      </c>
      <c r="O99" s="5">
        <f>AVERAGE(All_India_Index_Upto_April23__1___1[[#This Row],[General index]])</f>
        <v>124.8</v>
      </c>
      <c r="P99" s="2">
        <f>AVERAGE(E99:N99)</f>
        <v>120.90589743589744</v>
      </c>
      <c r="R99" s="10">
        <f t="shared" si="21"/>
        <v>104.95129715205509</v>
      </c>
      <c r="S99" s="10">
        <f t="shared" si="22"/>
        <v>108.51414429106762</v>
      </c>
      <c r="T99" s="10">
        <f t="shared" si="23"/>
        <v>103.85487335987089</v>
      </c>
      <c r="U99" s="10">
        <f t="shared" si="24"/>
        <v>99.746995438283207</v>
      </c>
      <c r="V99" s="10">
        <f t="shared" si="25"/>
        <v>99.829704389724569</v>
      </c>
      <c r="W99" s="10">
        <f t="shared" si="26"/>
        <v>92.38589876000195</v>
      </c>
      <c r="X99" s="10">
        <f t="shared" si="27"/>
        <v>97.431144797925057</v>
      </c>
      <c r="Y99" s="10">
        <f t="shared" si="28"/>
        <v>103.46889825314452</v>
      </c>
      <c r="Z99" s="10">
        <f t="shared" si="29"/>
        <v>92.882152468650119</v>
      </c>
    </row>
    <row r="100" spans="1:26" hidden="1" x14ac:dyDescent="0.3">
      <c r="A100" s="6" t="s">
        <v>30</v>
      </c>
      <c r="B100" s="6">
        <v>2015</v>
      </c>
      <c r="C100" s="6" t="s">
        <v>47</v>
      </c>
      <c r="D100" s="21">
        <f t="shared" si="20"/>
        <v>42248</v>
      </c>
      <c r="E100" s="4">
        <f>AVERAGE(All_India_Index_Upto_April23__1___1[[#This Row],[Cereals and products]:[Food and beverages]])</f>
        <v>127.50769230769232</v>
      </c>
      <c r="F100" s="5">
        <f>AVERAGE(All_India_Index_Upto_April23__1___1[[#This Row],[Pan, tobacco and intoxicants]])</f>
        <v>131</v>
      </c>
      <c r="G100" s="4">
        <f>AVERAGE(All_India_Index_Upto_April23__1___1[[#This Row],[Clothing]:[Clothing and footwear]])</f>
        <v>129.03333333333333</v>
      </c>
      <c r="H100" s="5">
        <f>AVERAGE(All_India_Index_Upto_April23__1___1[[#This Row],[Housing]:[Fuel and light]])</f>
        <v>123.7</v>
      </c>
      <c r="I100" s="5">
        <f>AVERAGE(All_India_Index_Upto_April23__1___1[[#This Row],[Household goods and services]:[Health]])</f>
        <v>122.95</v>
      </c>
      <c r="J100" s="5">
        <f>AVERAGE(All_India_Index_Upto_April23__1___1[[#This Row],[Transport and communication]])</f>
        <v>113.8</v>
      </c>
      <c r="K100" s="5">
        <f>AVERAGE(All_India_Index_Upto_April23__1___1[[#This Row],[Recreation and amusement]])</f>
        <v>119.6</v>
      </c>
      <c r="L100" s="5">
        <f>AVERAGE(All_India_Index_Upto_April23__1___1[[#This Row],[Education]])</f>
        <v>124.5</v>
      </c>
      <c r="M100" s="5">
        <f>AVERAGE(All_India_Index_Upto_April23__1___1[[#This Row],[Personal care and effects]])</f>
        <v>113.7</v>
      </c>
      <c r="N100" s="5">
        <f>AVERAGE(All_India_Index_Upto_April23__1___1[[#This Row],[Miscellaneous]])</f>
        <v>118.8</v>
      </c>
      <c r="O100" s="5">
        <f>AVERAGE(All_India_Index_Upto_April23__1___1[[#This Row],[General index]])</f>
        <v>127</v>
      </c>
      <c r="P100" s="2">
        <f t="shared" si="30"/>
        <v>1105.7910256410255</v>
      </c>
      <c r="R100" s="10">
        <f t="shared" si="21"/>
        <v>11.530903159010201</v>
      </c>
      <c r="S100" s="10">
        <f t="shared" si="22"/>
        <v>11.846723021111469</v>
      </c>
      <c r="T100" s="10">
        <f t="shared" si="23"/>
        <v>11.668871454127862</v>
      </c>
      <c r="U100" s="10">
        <f t="shared" si="24"/>
        <v>11.186562119935029</v>
      </c>
      <c r="V100" s="10">
        <f t="shared" si="25"/>
        <v>11.118737369814163</v>
      </c>
      <c r="W100" s="10">
        <f t="shared" si="26"/>
        <v>10.291275418339582</v>
      </c>
      <c r="X100" s="10">
        <f t="shared" si="27"/>
        <v>10.815786819274289</v>
      </c>
      <c r="Y100" s="10">
        <f t="shared" si="28"/>
        <v>11.258908520063954</v>
      </c>
      <c r="Z100" s="10">
        <f t="shared" si="29"/>
        <v>10.282232118323467</v>
      </c>
    </row>
    <row r="101" spans="1:26" hidden="1" x14ac:dyDescent="0.3">
      <c r="A101" s="5" t="s">
        <v>32</v>
      </c>
      <c r="B101" s="5">
        <v>2015</v>
      </c>
      <c r="C101" s="5" t="s">
        <v>47</v>
      </c>
      <c r="D101" s="21">
        <f t="shared" si="20"/>
        <v>42248</v>
      </c>
      <c r="E101" s="4">
        <f>AVERAGE(All_India_Index_Upto_April23__1___1[[#This Row],[Cereals and products]:[Food and beverages]])</f>
        <v>128.06153846153845</v>
      </c>
      <c r="F101" s="5">
        <f>AVERAGE(All_India_Index_Upto_April23__1___1[[#This Row],[Pan, tobacco and intoxicants]])</f>
        <v>134.69999999999999</v>
      </c>
      <c r="G101" s="4">
        <f>AVERAGE(All_India_Index_Upto_April23__1___1[[#This Row],[Clothing]:[Clothing and footwear]])</f>
        <v>121.93333333333334</v>
      </c>
      <c r="H101" s="5">
        <f>AVERAGE(All_India_Index_Upto_April23__1___1[[#This Row],[Housing]:[Fuel and light]])</f>
        <v>115.1</v>
      </c>
      <c r="I101" s="5">
        <f>AVERAGE(All_India_Index_Upto_April23__1___1[[#This Row],[Household goods and services]:[Health]])</f>
        <v>118.75</v>
      </c>
      <c r="J101" s="5">
        <f>AVERAGE(All_India_Index_Upto_April23__1___1[[#This Row],[Transport and communication]])</f>
        <v>109.1</v>
      </c>
      <c r="K101" s="5">
        <f>AVERAGE(All_India_Index_Upto_April23__1___1[[#This Row],[Recreation and amusement]])</f>
        <v>117.3</v>
      </c>
      <c r="L101" s="5">
        <f>AVERAGE(All_India_Index_Upto_April23__1___1[[#This Row],[Education]])</f>
        <v>126.5</v>
      </c>
      <c r="M101" s="5">
        <f>AVERAGE(All_India_Index_Upto_April23__1___1[[#This Row],[Personal care and effects]])</f>
        <v>112.9</v>
      </c>
      <c r="N101" s="5">
        <f>AVERAGE(All_India_Index_Upto_April23__1___1[[#This Row],[Miscellaneous]])</f>
        <v>116.2</v>
      </c>
      <c r="O101" s="5">
        <f>AVERAGE(All_India_Index_Upto_April23__1___1[[#This Row],[General index]])</f>
        <v>123.5</v>
      </c>
      <c r="P101" s="2">
        <f t="shared" si="30"/>
        <v>1084.3448717948718</v>
      </c>
      <c r="R101" s="10">
        <f t="shared" si="21"/>
        <v>11.810037728085845</v>
      </c>
      <c r="S101" s="10">
        <f t="shared" si="22"/>
        <v>12.422247156205625</v>
      </c>
      <c r="T101" s="10">
        <f t="shared" si="23"/>
        <v>11.244884953575893</v>
      </c>
      <c r="U101" s="10">
        <f t="shared" si="24"/>
        <v>10.614704140157889</v>
      </c>
      <c r="V101" s="10">
        <f t="shared" si="25"/>
        <v>10.951312916105554</v>
      </c>
      <c r="W101" s="10">
        <f t="shared" si="26"/>
        <v>10.061374645449396</v>
      </c>
      <c r="X101" s="10">
        <f t="shared" si="27"/>
        <v>10.817591621551001</v>
      </c>
      <c r="Y101" s="10">
        <f t="shared" si="28"/>
        <v>11.666030180104022</v>
      </c>
      <c r="Z101" s="10">
        <f t="shared" si="29"/>
        <v>10.411816658764774</v>
      </c>
    </row>
    <row r="102" spans="1:26" hidden="1" x14ac:dyDescent="0.3">
      <c r="A102" s="6" t="s">
        <v>34</v>
      </c>
      <c r="B102" s="6">
        <v>2015</v>
      </c>
      <c r="C102" s="6" t="s">
        <v>47</v>
      </c>
      <c r="D102" s="21">
        <f t="shared" si="20"/>
        <v>42248</v>
      </c>
      <c r="E102" s="4">
        <f>AVERAGE(All_India_Index_Upto_April23__1___1[[#This Row],[Cereals and products]:[Food and beverages]])</f>
        <v>127.56153846153848</v>
      </c>
      <c r="F102" s="5">
        <f>AVERAGE(All_India_Index_Upto_April23__1___1[[#This Row],[Pan, tobacco and intoxicants]])</f>
        <v>132</v>
      </c>
      <c r="G102" s="4">
        <f>AVERAGE(All_India_Index_Upto_April23__1___1[[#This Row],[Clothing]:[Clothing and footwear]])</f>
        <v>126.16666666666667</v>
      </c>
      <c r="H102" s="5">
        <f>AVERAGE(All_India_Index_Upto_April23__1___1[[#This Row],[Housing]:[Fuel and light]])</f>
        <v>120.4</v>
      </c>
      <c r="I102" s="5">
        <f>AVERAGE(All_India_Index_Upto_April23__1___1[[#This Row],[Household goods and services]:[Health]])</f>
        <v>121.19999999999999</v>
      </c>
      <c r="J102" s="5">
        <f>AVERAGE(All_India_Index_Upto_April23__1___1[[#This Row],[Transport and communication]])</f>
        <v>111.3</v>
      </c>
      <c r="K102" s="5">
        <f>AVERAGE(All_India_Index_Upto_April23__1___1[[#This Row],[Recreation and amusement]])</f>
        <v>118.3</v>
      </c>
      <c r="L102" s="5">
        <f>AVERAGE(All_India_Index_Upto_April23__1___1[[#This Row],[Education]])</f>
        <v>125.7</v>
      </c>
      <c r="M102" s="5">
        <f>AVERAGE(All_India_Index_Upto_April23__1___1[[#This Row],[Personal care and effects]])</f>
        <v>113.4</v>
      </c>
      <c r="N102" s="5">
        <f>AVERAGE(All_India_Index_Upto_April23__1___1[[#This Row],[Miscellaneous]])</f>
        <v>117.5</v>
      </c>
      <c r="O102" s="5">
        <f>AVERAGE(All_India_Index_Upto_April23__1___1[[#This Row],[General index]])</f>
        <v>125.4</v>
      </c>
      <c r="P102" s="2">
        <f>AVERAGE(E102:N102)</f>
        <v>121.35282051282051</v>
      </c>
      <c r="R102" s="10">
        <f t="shared" si="21"/>
        <v>105.11625351803178</v>
      </c>
      <c r="S102" s="10">
        <f t="shared" si="22"/>
        <v>108.77373879089581</v>
      </c>
      <c r="T102" s="10">
        <f t="shared" si="23"/>
        <v>103.96681851604561</v>
      </c>
      <c r="U102" s="10">
        <f t="shared" si="24"/>
        <v>99.214834472907981</v>
      </c>
      <c r="V102" s="10">
        <f t="shared" si="25"/>
        <v>99.87406925345887</v>
      </c>
      <c r="W102" s="10">
        <f t="shared" si="26"/>
        <v>91.716038844141679</v>
      </c>
      <c r="X102" s="10">
        <f t="shared" si="27"/>
        <v>97.484343173961918</v>
      </c>
      <c r="Y102" s="10">
        <f t="shared" si="28"/>
        <v>103.5822648940576</v>
      </c>
      <c r="Z102" s="10">
        <f t="shared" si="29"/>
        <v>93.446530143087756</v>
      </c>
    </row>
    <row r="103" spans="1:26" hidden="1" x14ac:dyDescent="0.3">
      <c r="A103" s="5" t="s">
        <v>30</v>
      </c>
      <c r="B103" s="5">
        <v>2015</v>
      </c>
      <c r="C103" s="5" t="s">
        <v>49</v>
      </c>
      <c r="D103" s="21">
        <f t="shared" si="20"/>
        <v>42278</v>
      </c>
      <c r="E103" s="4">
        <f>AVERAGE(All_India_Index_Upto_April23__1___1[[#This Row],[Cereals and products]:[Food and beverages]])</f>
        <v>128.8153846153846</v>
      </c>
      <c r="F103" s="5">
        <f>AVERAGE(All_India_Index_Upto_April23__1___1[[#This Row],[Pan, tobacco and intoxicants]])</f>
        <v>131.5</v>
      </c>
      <c r="G103" s="4">
        <f>AVERAGE(All_India_Index_Upto_April23__1___1[[#This Row],[Clothing]:[Clothing and footwear]])</f>
        <v>129.66666666666666</v>
      </c>
      <c r="H103" s="5">
        <f>AVERAGE(All_India_Index_Upto_April23__1___1[[#This Row],[Housing]:[Fuel and light]])</f>
        <v>124.4</v>
      </c>
      <c r="I103" s="5">
        <f>AVERAGE(All_India_Index_Upto_April23__1___1[[#This Row],[Household goods and services]:[Health]])</f>
        <v>123.55</v>
      </c>
      <c r="J103" s="5">
        <f>AVERAGE(All_India_Index_Upto_April23__1___1[[#This Row],[Transport and communication]])</f>
        <v>113.8</v>
      </c>
      <c r="K103" s="5">
        <f>AVERAGE(All_India_Index_Upto_April23__1___1[[#This Row],[Recreation and amusement]])</f>
        <v>120.1</v>
      </c>
      <c r="L103" s="5">
        <f>AVERAGE(All_India_Index_Upto_April23__1___1[[#This Row],[Education]])</f>
        <v>125.1</v>
      </c>
      <c r="M103" s="5">
        <f>AVERAGE(All_India_Index_Upto_April23__1___1[[#This Row],[Personal care and effects]])</f>
        <v>114.2</v>
      </c>
      <c r="N103" s="5">
        <f>AVERAGE(All_India_Index_Upto_April23__1___1[[#This Row],[Miscellaneous]])</f>
        <v>119.2</v>
      </c>
      <c r="O103" s="5">
        <f>AVERAGE(All_India_Index_Upto_April23__1___1[[#This Row],[General index]])</f>
        <v>127.7</v>
      </c>
      <c r="P103" s="2">
        <f t="shared" si="30"/>
        <v>1111.1320512820512</v>
      </c>
      <c r="R103" s="10">
        <f t="shared" si="21"/>
        <v>11.593166128792189</v>
      </c>
      <c r="S103" s="10">
        <f t="shared" si="22"/>
        <v>11.834776959972679</v>
      </c>
      <c r="T103" s="10">
        <f t="shared" si="23"/>
        <v>11.669780069529459</v>
      </c>
      <c r="U103" s="10">
        <f t="shared" si="24"/>
        <v>11.195789002438032</v>
      </c>
      <c r="V103" s="10">
        <f t="shared" si="25"/>
        <v>11.11929044414163</v>
      </c>
      <c r="W103" s="10">
        <f t="shared" si="26"/>
        <v>10.241806981329967</v>
      </c>
      <c r="X103" s="10">
        <f t="shared" si="27"/>
        <v>10.808796295762118</v>
      </c>
      <c r="Y103" s="10">
        <f t="shared" si="28"/>
        <v>11.258787815152715</v>
      </c>
      <c r="Z103" s="10">
        <f t="shared" si="29"/>
        <v>10.277806302881217</v>
      </c>
    </row>
    <row r="104" spans="1:26" hidden="1" x14ac:dyDescent="0.3">
      <c r="A104" s="6" t="s">
        <v>32</v>
      </c>
      <c r="B104" s="6">
        <v>2015</v>
      </c>
      <c r="C104" s="6" t="s">
        <v>49</v>
      </c>
      <c r="D104" s="21">
        <f t="shared" si="20"/>
        <v>42278</v>
      </c>
      <c r="E104" s="4">
        <f>AVERAGE(All_India_Index_Upto_April23__1___1[[#This Row],[Cereals and products]:[Food and beverages]])</f>
        <v>130.21538461538464</v>
      </c>
      <c r="F104" s="5">
        <f>AVERAGE(All_India_Index_Upto_April23__1___1[[#This Row],[Pan, tobacco and intoxicants]])</f>
        <v>135.30000000000001</v>
      </c>
      <c r="G104" s="4">
        <f>AVERAGE(All_India_Index_Upto_April23__1___1[[#This Row],[Clothing]:[Clothing and footwear]])</f>
        <v>122.26666666666665</v>
      </c>
      <c r="H104" s="5">
        <f>AVERAGE(All_India_Index_Upto_April23__1___1[[#This Row],[Housing]:[Fuel and light]])</f>
        <v>114.9</v>
      </c>
      <c r="I104" s="5">
        <f>AVERAGE(All_India_Index_Upto_April23__1___1[[#This Row],[Household goods and services]:[Health]])</f>
        <v>119.2</v>
      </c>
      <c r="J104" s="5">
        <f>AVERAGE(All_India_Index_Upto_April23__1___1[[#This Row],[Transport and communication]])</f>
        <v>109.3</v>
      </c>
      <c r="K104" s="5">
        <f>AVERAGE(All_India_Index_Upto_April23__1___1[[#This Row],[Recreation and amusement]])</f>
        <v>117.7</v>
      </c>
      <c r="L104" s="5">
        <f>AVERAGE(All_India_Index_Upto_April23__1___1[[#This Row],[Education]])</f>
        <v>126.5</v>
      </c>
      <c r="M104" s="5">
        <f>AVERAGE(All_India_Index_Upto_April23__1___1[[#This Row],[Personal care and effects]])</f>
        <v>113.5</v>
      </c>
      <c r="N104" s="5">
        <f>AVERAGE(All_India_Index_Upto_April23__1___1[[#This Row],[Miscellaneous]])</f>
        <v>116.5</v>
      </c>
      <c r="O104" s="5">
        <f>AVERAGE(All_India_Index_Upto_April23__1___1[[#This Row],[General index]])</f>
        <v>124.2</v>
      </c>
      <c r="P104" s="2">
        <f t="shared" si="30"/>
        <v>1088.8820512820512</v>
      </c>
      <c r="R104" s="10">
        <f t="shared" si="21"/>
        <v>11.958630823427466</v>
      </c>
      <c r="S104" s="10">
        <f t="shared" si="22"/>
        <v>12.425588229753409</v>
      </c>
      <c r="T104" s="10">
        <f t="shared" si="23"/>
        <v>11.228641938096942</v>
      </c>
      <c r="U104" s="10">
        <f t="shared" si="24"/>
        <v>10.552107077595466</v>
      </c>
      <c r="V104" s="10">
        <f t="shared" si="25"/>
        <v>10.947007516530718</v>
      </c>
      <c r="W104" s="10">
        <f t="shared" si="26"/>
        <v>10.037818133865834</v>
      </c>
      <c r="X104" s="10">
        <f t="shared" si="27"/>
        <v>10.80925154946028</v>
      </c>
      <c r="Y104" s="10">
        <f t="shared" si="28"/>
        <v>11.617419889606843</v>
      </c>
      <c r="Z104" s="10">
        <f t="shared" si="29"/>
        <v>10.423534841663058</v>
      </c>
    </row>
    <row r="105" spans="1:26" hidden="1" x14ac:dyDescent="0.3">
      <c r="A105" s="5" t="s">
        <v>34</v>
      </c>
      <c r="B105" s="5">
        <v>2015</v>
      </c>
      <c r="C105" s="5" t="s">
        <v>49</v>
      </c>
      <c r="D105" s="21">
        <f t="shared" si="20"/>
        <v>42278</v>
      </c>
      <c r="E105" s="4">
        <f>AVERAGE(All_India_Index_Upto_April23__1___1[[#This Row],[Cereals and products]:[Food and beverages]])</f>
        <v>129.15384615384613</v>
      </c>
      <c r="F105" s="5">
        <f>AVERAGE(All_India_Index_Upto_April23__1___1[[#This Row],[Pan, tobacco and intoxicants]])</f>
        <v>132.5</v>
      </c>
      <c r="G105" s="4">
        <f>AVERAGE(All_India_Index_Upto_April23__1___1[[#This Row],[Clothing]:[Clothing and footwear]])</f>
        <v>126.7</v>
      </c>
      <c r="H105" s="5">
        <f>AVERAGE(All_India_Index_Upto_April23__1___1[[#This Row],[Housing]:[Fuel and light]])</f>
        <v>120.8</v>
      </c>
      <c r="I105" s="5">
        <f>AVERAGE(All_India_Index_Upto_April23__1___1[[#This Row],[Household goods and services]:[Health]])</f>
        <v>121.7</v>
      </c>
      <c r="J105" s="5">
        <f>AVERAGE(All_India_Index_Upto_April23__1___1[[#This Row],[Transport and communication]])</f>
        <v>111.4</v>
      </c>
      <c r="K105" s="5">
        <f>AVERAGE(All_India_Index_Upto_April23__1___1[[#This Row],[Recreation and amusement]])</f>
        <v>118.7</v>
      </c>
      <c r="L105" s="5">
        <f>AVERAGE(All_India_Index_Upto_April23__1___1[[#This Row],[Education]])</f>
        <v>125.9</v>
      </c>
      <c r="M105" s="5">
        <f>AVERAGE(All_India_Index_Upto_April23__1___1[[#This Row],[Personal care and effects]])</f>
        <v>113.9</v>
      </c>
      <c r="N105" s="5">
        <f>AVERAGE(All_India_Index_Upto_April23__1___1[[#This Row],[Miscellaneous]])</f>
        <v>117.9</v>
      </c>
      <c r="O105" s="5">
        <f>AVERAGE(All_India_Index_Upto_April23__1___1[[#This Row],[General index]])</f>
        <v>126.1</v>
      </c>
      <c r="P105" s="2">
        <f>AVERAGE(E105:N105)</f>
        <v>121.86538461538461</v>
      </c>
      <c r="R105" s="10">
        <f t="shared" si="21"/>
        <v>105.98074798800693</v>
      </c>
      <c r="S105" s="10">
        <f t="shared" si="22"/>
        <v>108.72652674767241</v>
      </c>
      <c r="T105" s="10">
        <f t="shared" si="23"/>
        <v>103.96717689758562</v>
      </c>
      <c r="U105" s="10">
        <f t="shared" si="24"/>
        <v>99.125769291462845</v>
      </c>
      <c r="V105" s="10">
        <f t="shared" si="25"/>
        <v>99.864289095786646</v>
      </c>
      <c r="W105" s="10">
        <f t="shared" si="26"/>
        <v>91.412340224080808</v>
      </c>
      <c r="X105" s="10">
        <f t="shared" si="27"/>
        <v>97.402556414707277</v>
      </c>
      <c r="Y105" s="10">
        <f t="shared" si="28"/>
        <v>103.3107148492978</v>
      </c>
      <c r="Z105" s="10">
        <f t="shared" si="29"/>
        <v>93.463784124980279</v>
      </c>
    </row>
    <row r="106" spans="1:26" hidden="1" x14ac:dyDescent="0.3">
      <c r="A106" s="6" t="s">
        <v>30</v>
      </c>
      <c r="B106" s="6">
        <v>2015</v>
      </c>
      <c r="C106" s="6" t="s">
        <v>52</v>
      </c>
      <c r="D106" s="21">
        <f t="shared" si="20"/>
        <v>42309</v>
      </c>
      <c r="E106" s="4">
        <f>AVERAGE(All_India_Index_Upto_April23__1___1[[#This Row],[Cereals and products]:[Food and beverages]])</f>
        <v>129.71538461538461</v>
      </c>
      <c r="F106" s="5">
        <f>AVERAGE(All_India_Index_Upto_April23__1___1[[#This Row],[Pan, tobacco and intoxicants]])</f>
        <v>132.19999999999999</v>
      </c>
      <c r="G106" s="4">
        <f>AVERAGE(All_India_Index_Upto_April23__1___1[[#This Row],[Clothing]:[Clothing and footwear]])</f>
        <v>130.6</v>
      </c>
      <c r="H106" s="5">
        <f>AVERAGE(All_India_Index_Upto_April23__1___1[[#This Row],[Housing]:[Fuel and light]])</f>
        <v>125.6</v>
      </c>
      <c r="I106" s="5">
        <f>AVERAGE(All_India_Index_Upto_April23__1___1[[#This Row],[Household goods and services]:[Health]])</f>
        <v>124.1</v>
      </c>
      <c r="J106" s="5">
        <f>AVERAGE(All_India_Index_Upto_April23__1___1[[#This Row],[Transport and communication]])</f>
        <v>114</v>
      </c>
      <c r="K106" s="5">
        <f>AVERAGE(All_India_Index_Upto_April23__1___1[[#This Row],[Recreation and amusement]])</f>
        <v>120.9</v>
      </c>
      <c r="L106" s="5">
        <f>AVERAGE(All_India_Index_Upto_April23__1___1[[#This Row],[Education]])</f>
        <v>125.8</v>
      </c>
      <c r="M106" s="5">
        <f>AVERAGE(All_India_Index_Upto_April23__1___1[[#This Row],[Personal care and effects]])</f>
        <v>114.2</v>
      </c>
      <c r="N106" s="5">
        <f>AVERAGE(All_India_Index_Upto_April23__1___1[[#This Row],[Miscellaneous]])</f>
        <v>119.6</v>
      </c>
      <c r="O106" s="5">
        <f>AVERAGE(All_India_Index_Upto_April23__1___1[[#This Row],[General index]])</f>
        <v>128.30000000000001</v>
      </c>
      <c r="P106" s="2">
        <f t="shared" si="30"/>
        <v>1117.1153846153845</v>
      </c>
      <c r="R106" s="10">
        <f t="shared" si="21"/>
        <v>11.611637114821828</v>
      </c>
      <c r="S106" s="10">
        <f t="shared" si="22"/>
        <v>11.834050611120675</v>
      </c>
      <c r="T106" s="10">
        <f t="shared" si="23"/>
        <v>11.690824582544328</v>
      </c>
      <c r="U106" s="10">
        <f t="shared" si="24"/>
        <v>11.243243243243244</v>
      </c>
      <c r="V106" s="10">
        <f t="shared" si="25"/>
        <v>11.108968841452919</v>
      </c>
      <c r="W106" s="10">
        <f t="shared" si="26"/>
        <v>10.204854536064728</v>
      </c>
      <c r="X106" s="10">
        <f t="shared" si="27"/>
        <v>10.822516784300225</v>
      </c>
      <c r="Y106" s="10">
        <f t="shared" si="28"/>
        <v>11.261146496815288</v>
      </c>
      <c r="Z106" s="10">
        <f t="shared" si="29"/>
        <v>10.222757789636772</v>
      </c>
    </row>
    <row r="107" spans="1:26" hidden="1" x14ac:dyDescent="0.3">
      <c r="A107" s="5" t="s">
        <v>32</v>
      </c>
      <c r="B107" s="5">
        <v>2015</v>
      </c>
      <c r="C107" s="5" t="s">
        <v>52</v>
      </c>
      <c r="D107" s="21">
        <f t="shared" si="20"/>
        <v>42309</v>
      </c>
      <c r="E107" s="4">
        <f>AVERAGE(All_India_Index_Upto_April23__1___1[[#This Row],[Cereals and products]:[Food and beverages]])</f>
        <v>131.42307692307691</v>
      </c>
      <c r="F107" s="5">
        <f>AVERAGE(All_India_Index_Upto_April23__1___1[[#This Row],[Pan, tobacco and intoxicants]])</f>
        <v>137.6</v>
      </c>
      <c r="G107" s="4">
        <f>AVERAGE(All_India_Index_Upto_April23__1___1[[#This Row],[Clothing]:[Clothing and footwear]])</f>
        <v>122.83333333333333</v>
      </c>
      <c r="H107" s="5">
        <f>AVERAGE(All_India_Index_Upto_April23__1___1[[#This Row],[Housing]:[Fuel and light]])</f>
        <v>115.1</v>
      </c>
      <c r="I107" s="5">
        <f>AVERAGE(All_India_Index_Upto_April23__1___1[[#This Row],[Household goods and services]:[Health]])</f>
        <v>119.55</v>
      </c>
      <c r="J107" s="5">
        <f>AVERAGE(All_India_Index_Upto_April23__1___1[[#This Row],[Transport and communication]])</f>
        <v>109.3</v>
      </c>
      <c r="K107" s="5">
        <f>AVERAGE(All_India_Index_Upto_April23__1___1[[#This Row],[Recreation and amusement]])</f>
        <v>117.9</v>
      </c>
      <c r="L107" s="5">
        <f>AVERAGE(All_India_Index_Upto_April23__1___1[[#This Row],[Education]])</f>
        <v>126.6</v>
      </c>
      <c r="M107" s="5">
        <f>AVERAGE(All_India_Index_Upto_April23__1___1[[#This Row],[Personal care and effects]])</f>
        <v>113.3</v>
      </c>
      <c r="N107" s="5">
        <f>AVERAGE(All_India_Index_Upto_April23__1___1[[#This Row],[Miscellaneous]])</f>
        <v>116.6</v>
      </c>
      <c r="O107" s="5">
        <f>AVERAGE(All_India_Index_Upto_April23__1___1[[#This Row],[General index]])</f>
        <v>124.6</v>
      </c>
      <c r="P107" s="2">
        <f t="shared" si="30"/>
        <v>1093.6064102564101</v>
      </c>
      <c r="R107" s="10">
        <f t="shared" si="21"/>
        <v>12.017401844989466</v>
      </c>
      <c r="S107" s="10">
        <f t="shared" si="22"/>
        <v>12.582223248649202</v>
      </c>
      <c r="T107" s="10">
        <f t="shared" si="23"/>
        <v>11.231950744009765</v>
      </c>
      <c r="U107" s="10">
        <f t="shared" si="24"/>
        <v>10.524810290112812</v>
      </c>
      <c r="V107" s="10">
        <f t="shared" si="25"/>
        <v>10.931720853023345</v>
      </c>
      <c r="W107" s="10">
        <f t="shared" si="26"/>
        <v>9.9944549496901001</v>
      </c>
      <c r="X107" s="10">
        <f t="shared" si="27"/>
        <v>10.780843902730677</v>
      </c>
      <c r="Y107" s="10">
        <f t="shared" si="28"/>
        <v>11.576376913364745</v>
      </c>
      <c r="Z107" s="10">
        <f t="shared" si="29"/>
        <v>10.360217253429903</v>
      </c>
    </row>
    <row r="108" spans="1:26" hidden="1" x14ac:dyDescent="0.3">
      <c r="A108" s="6" t="s">
        <v>34</v>
      </c>
      <c r="B108" s="6">
        <v>2015</v>
      </c>
      <c r="C108" s="6" t="s">
        <v>52</v>
      </c>
      <c r="D108" s="21">
        <f t="shared" si="20"/>
        <v>42309</v>
      </c>
      <c r="E108" s="4">
        <f>AVERAGE(All_India_Index_Upto_April23__1___1[[#This Row],[Cereals and products]:[Food and beverages]])</f>
        <v>130.16153846153844</v>
      </c>
      <c r="F108" s="5">
        <f>AVERAGE(All_India_Index_Upto_April23__1___1[[#This Row],[Pan, tobacco and intoxicants]])</f>
        <v>133.6</v>
      </c>
      <c r="G108" s="4">
        <f>AVERAGE(All_India_Index_Upto_April23__1___1[[#This Row],[Clothing]:[Clothing and footwear]])</f>
        <v>127.46666666666665</v>
      </c>
      <c r="H108" s="5">
        <f>AVERAGE(All_India_Index_Upto_April23__1___1[[#This Row],[Housing]:[Fuel and light]])</f>
        <v>121.6</v>
      </c>
      <c r="I108" s="5">
        <f>AVERAGE(All_India_Index_Upto_April23__1___1[[#This Row],[Household goods and services]:[Health]])</f>
        <v>122.15</v>
      </c>
      <c r="J108" s="5">
        <f>AVERAGE(All_India_Index_Upto_April23__1___1[[#This Row],[Transport and communication]])</f>
        <v>111.5</v>
      </c>
      <c r="K108" s="5">
        <f>AVERAGE(All_India_Index_Upto_April23__1___1[[#This Row],[Recreation and amusement]])</f>
        <v>119.2</v>
      </c>
      <c r="L108" s="5">
        <f>AVERAGE(All_India_Index_Upto_April23__1___1[[#This Row],[Education]])</f>
        <v>126.3</v>
      </c>
      <c r="M108" s="5">
        <f>AVERAGE(All_India_Index_Upto_April23__1___1[[#This Row],[Personal care and effects]])</f>
        <v>113.8</v>
      </c>
      <c r="N108" s="5">
        <f>AVERAGE(All_India_Index_Upto_April23__1___1[[#This Row],[Miscellaneous]])</f>
        <v>118.1</v>
      </c>
      <c r="O108" s="5">
        <f>AVERAGE(All_India_Index_Upto_April23__1___1[[#This Row],[General index]])</f>
        <v>126.6</v>
      </c>
      <c r="P108" s="2">
        <f>AVERAGE(E108:N108)</f>
        <v>122.38782051282048</v>
      </c>
      <c r="R108" s="10">
        <f t="shared" si="21"/>
        <v>106.35170878617259</v>
      </c>
      <c r="S108" s="10">
        <f t="shared" si="22"/>
        <v>109.16118894854003</v>
      </c>
      <c r="T108" s="10">
        <f t="shared" si="23"/>
        <v>104.1497970407228</v>
      </c>
      <c r="U108" s="10">
        <f t="shared" si="24"/>
        <v>99.35629173759331</v>
      </c>
      <c r="V108" s="10">
        <f t="shared" si="25"/>
        <v>99.805682859761717</v>
      </c>
      <c r="W108" s="10">
        <f t="shared" si="26"/>
        <v>91.103836585046508</v>
      </c>
      <c r="X108" s="10">
        <f t="shared" si="27"/>
        <v>97.395312295403983</v>
      </c>
      <c r="Y108" s="10">
        <f t="shared" si="28"/>
        <v>103.19654314521412</v>
      </c>
      <c r="Z108" s="10">
        <f t="shared" si="29"/>
        <v>92.983108550477951</v>
      </c>
    </row>
    <row r="109" spans="1:26" hidden="1" x14ac:dyDescent="0.3">
      <c r="A109" s="5" t="s">
        <v>30</v>
      </c>
      <c r="B109" s="5">
        <v>2015</v>
      </c>
      <c r="C109" s="5" t="s">
        <v>54</v>
      </c>
      <c r="D109" s="21">
        <f t="shared" si="20"/>
        <v>42339</v>
      </c>
      <c r="E109" s="4">
        <f>AVERAGE(All_India_Index_Upto_April23__1___1[[#This Row],[Cereals and products]:[Food and beverages]])</f>
        <v>129.40769230769232</v>
      </c>
      <c r="F109" s="5">
        <f>AVERAGE(All_India_Index_Upto_April23__1___1[[#This Row],[Pan, tobacco and intoxicants]])</f>
        <v>133.1</v>
      </c>
      <c r="G109" s="4">
        <f>AVERAGE(All_India_Index_Upto_April23__1___1[[#This Row],[Clothing]:[Clothing and footwear]])</f>
        <v>130.96666666666667</v>
      </c>
      <c r="H109" s="5">
        <f>AVERAGE(All_India_Index_Upto_April23__1___1[[#This Row],[Housing]:[Fuel and light]])</f>
        <v>125.7</v>
      </c>
      <c r="I109" s="5">
        <f>AVERAGE(All_India_Index_Upto_April23__1___1[[#This Row],[Household goods and services]:[Health]])</f>
        <v>124.55</v>
      </c>
      <c r="J109" s="5">
        <f>AVERAGE(All_India_Index_Upto_April23__1___1[[#This Row],[Transport and communication]])</f>
        <v>114</v>
      </c>
      <c r="K109" s="5">
        <f>AVERAGE(All_India_Index_Upto_April23__1___1[[#This Row],[Recreation and amusement]])</f>
        <v>121.6</v>
      </c>
      <c r="L109" s="5">
        <f>AVERAGE(All_India_Index_Upto_April23__1___1[[#This Row],[Education]])</f>
        <v>125.6</v>
      </c>
      <c r="M109" s="5">
        <f>AVERAGE(All_India_Index_Upto_April23__1___1[[#This Row],[Personal care and effects]])</f>
        <v>114.1</v>
      </c>
      <c r="N109" s="5">
        <f>AVERAGE(All_India_Index_Upto_April23__1___1[[#This Row],[Miscellaneous]])</f>
        <v>119.8</v>
      </c>
      <c r="O109" s="5">
        <f>AVERAGE(All_India_Index_Upto_April23__1___1[[#This Row],[General index]])</f>
        <v>127.9</v>
      </c>
      <c r="P109" s="2">
        <f t="shared" si="30"/>
        <v>1119.0243589743591</v>
      </c>
      <c r="R109" s="10">
        <f t="shared" si="21"/>
        <v>11.56433202457727</v>
      </c>
      <c r="S109" s="10">
        <f t="shared" si="22"/>
        <v>11.894289783110057</v>
      </c>
      <c r="T109" s="10">
        <f t="shared" si="23"/>
        <v>11.703647522624447</v>
      </c>
      <c r="U109" s="10">
        <f t="shared" si="24"/>
        <v>11.232999442050595</v>
      </c>
      <c r="V109" s="10">
        <f t="shared" si="25"/>
        <v>11.13023134850757</v>
      </c>
      <c r="W109" s="10">
        <f t="shared" si="26"/>
        <v>10.187445794699823</v>
      </c>
      <c r="X109" s="10">
        <f t="shared" si="27"/>
        <v>10.86660884767981</v>
      </c>
      <c r="Y109" s="10">
        <f t="shared" si="28"/>
        <v>11.224063086090332</v>
      </c>
      <c r="Z109" s="10">
        <f t="shared" si="29"/>
        <v>10.196382150660085</v>
      </c>
    </row>
    <row r="110" spans="1:26" hidden="1" x14ac:dyDescent="0.3">
      <c r="A110" s="6" t="s">
        <v>32</v>
      </c>
      <c r="B110" s="6">
        <v>2015</v>
      </c>
      <c r="C110" s="6" t="s">
        <v>54</v>
      </c>
      <c r="D110" s="21">
        <f t="shared" si="20"/>
        <v>42339</v>
      </c>
      <c r="E110" s="4">
        <f>AVERAGE(All_India_Index_Upto_April23__1___1[[#This Row],[Cereals and products]:[Food and beverages]])</f>
        <v>130.67692307692306</v>
      </c>
      <c r="F110" s="5">
        <f>AVERAGE(All_India_Index_Upto_April23__1___1[[#This Row],[Pan, tobacco and intoxicants]])</f>
        <v>138.19999999999999</v>
      </c>
      <c r="G110" s="4">
        <f>AVERAGE(All_India_Index_Upto_April23__1___1[[#This Row],[Clothing]:[Clothing and footwear]])</f>
        <v>123.13333333333333</v>
      </c>
      <c r="H110" s="5">
        <f>AVERAGE(All_India_Index_Upto_April23__1___1[[#This Row],[Housing]:[Fuel and light]])</f>
        <v>116</v>
      </c>
      <c r="I110" s="5">
        <f>AVERAGE(All_India_Index_Upto_April23__1___1[[#This Row],[Household goods and services]:[Health]])</f>
        <v>119.8</v>
      </c>
      <c r="J110" s="5">
        <f>AVERAGE(All_India_Index_Upto_April23__1___1[[#This Row],[Transport and communication]])</f>
        <v>109.3</v>
      </c>
      <c r="K110" s="5">
        <f>AVERAGE(All_India_Index_Upto_April23__1___1[[#This Row],[Recreation and amusement]])</f>
        <v>118.1</v>
      </c>
      <c r="L110" s="5">
        <f>AVERAGE(All_India_Index_Upto_April23__1___1[[#This Row],[Education]])</f>
        <v>126.6</v>
      </c>
      <c r="M110" s="5">
        <f>AVERAGE(All_India_Index_Upto_April23__1___1[[#This Row],[Personal care and effects]])</f>
        <v>113.2</v>
      </c>
      <c r="N110" s="5">
        <f>AVERAGE(All_India_Index_Upto_April23__1___1[[#This Row],[Miscellaneous]])</f>
        <v>116.7</v>
      </c>
      <c r="O110" s="5">
        <f>AVERAGE(All_India_Index_Upto_April23__1___1[[#This Row],[General index]])</f>
        <v>124</v>
      </c>
      <c r="P110" s="2">
        <f t="shared" si="30"/>
        <v>1095.0102564102563</v>
      </c>
      <c r="R110" s="10">
        <f t="shared" si="21"/>
        <v>11.933853798348688</v>
      </c>
      <c r="S110" s="10">
        <f t="shared" si="22"/>
        <v>12.620886351608931</v>
      </c>
      <c r="T110" s="10">
        <f t="shared" si="23"/>
        <v>11.244947945693051</v>
      </c>
      <c r="U110" s="10">
        <f t="shared" si="24"/>
        <v>10.593508080945268</v>
      </c>
      <c r="V110" s="10">
        <f t="shared" si="25"/>
        <v>10.940536793941751</v>
      </c>
      <c r="W110" s="10">
        <f t="shared" si="26"/>
        <v>9.981641665925153</v>
      </c>
      <c r="X110" s="10">
        <f t="shared" si="27"/>
        <v>10.785287106548587</v>
      </c>
      <c r="Y110" s="10">
        <f t="shared" si="28"/>
        <v>11.561535543514404</v>
      </c>
      <c r="Z110" s="10">
        <f t="shared" si="29"/>
        <v>10.337802713474176</v>
      </c>
    </row>
    <row r="111" spans="1:26" hidden="1" x14ac:dyDescent="0.3">
      <c r="A111" s="5" t="s">
        <v>34</v>
      </c>
      <c r="B111" s="5">
        <v>2015</v>
      </c>
      <c r="C111" s="5" t="s">
        <v>54</v>
      </c>
      <c r="D111" s="21">
        <f t="shared" si="20"/>
        <v>42339</v>
      </c>
      <c r="E111" s="4">
        <f>AVERAGE(All_India_Index_Upto_April23__1___1[[#This Row],[Cereals and products]:[Food and beverages]])</f>
        <v>129.70000000000002</v>
      </c>
      <c r="F111" s="5">
        <f>AVERAGE(All_India_Index_Upto_April23__1___1[[#This Row],[Pan, tobacco and intoxicants]])</f>
        <v>134.5</v>
      </c>
      <c r="G111" s="4">
        <f>AVERAGE(All_India_Index_Upto_April23__1___1[[#This Row],[Clothing]:[Clothing and footwear]])</f>
        <v>127.83333333333333</v>
      </c>
      <c r="H111" s="5">
        <f>AVERAGE(All_India_Index_Upto_April23__1___1[[#This Row],[Housing]:[Fuel and light]])</f>
        <v>122</v>
      </c>
      <c r="I111" s="5">
        <f>AVERAGE(All_India_Index_Upto_April23__1___1[[#This Row],[Household goods and services]:[Health]])</f>
        <v>122.5</v>
      </c>
      <c r="J111" s="5">
        <f>AVERAGE(All_India_Index_Upto_April23__1___1[[#This Row],[Transport and communication]])</f>
        <v>111.5</v>
      </c>
      <c r="K111" s="5">
        <f>AVERAGE(All_India_Index_Upto_April23__1___1[[#This Row],[Recreation and amusement]])</f>
        <v>119.6</v>
      </c>
      <c r="L111" s="5">
        <f>AVERAGE(All_India_Index_Upto_April23__1___1[[#This Row],[Education]])</f>
        <v>126.2</v>
      </c>
      <c r="M111" s="5">
        <f>AVERAGE(All_India_Index_Upto_April23__1___1[[#This Row],[Personal care and effects]])</f>
        <v>113.7</v>
      </c>
      <c r="N111" s="5">
        <f>AVERAGE(All_India_Index_Upto_April23__1___1[[#This Row],[Miscellaneous]])</f>
        <v>118.3</v>
      </c>
      <c r="O111" s="5">
        <f>AVERAGE(All_India_Index_Upto_April23__1___1[[#This Row],[General index]])</f>
        <v>126.1</v>
      </c>
      <c r="P111" s="2">
        <f>AVERAGE(E111:N111)</f>
        <v>122.58333333333333</v>
      </c>
      <c r="R111" s="10">
        <f t="shared" si="21"/>
        <v>105.80557443915706</v>
      </c>
      <c r="S111" s="10">
        <f t="shared" si="22"/>
        <v>109.7212780421482</v>
      </c>
      <c r="T111" s="10">
        <f t="shared" si="23"/>
        <v>104.28280081577159</v>
      </c>
      <c r="U111" s="10">
        <f t="shared" si="24"/>
        <v>99.524133242692045</v>
      </c>
      <c r="V111" s="10">
        <f t="shared" si="25"/>
        <v>99.93201903467029</v>
      </c>
      <c r="W111" s="10">
        <f t="shared" si="26"/>
        <v>90.958531611148885</v>
      </c>
      <c r="X111" s="10">
        <f t="shared" si="27"/>
        <v>97.566281441196466</v>
      </c>
      <c r="Y111" s="10">
        <f t="shared" si="28"/>
        <v>102.95037389530933</v>
      </c>
      <c r="Z111" s="10">
        <f t="shared" si="29"/>
        <v>92.753229095853158</v>
      </c>
    </row>
    <row r="112" spans="1:26" hidden="1" x14ac:dyDescent="0.3">
      <c r="A112" s="6" t="s">
        <v>30</v>
      </c>
      <c r="B112" s="6">
        <v>2016</v>
      </c>
      <c r="C112" s="6" t="s">
        <v>31</v>
      </c>
      <c r="D112" s="21">
        <f t="shared" si="20"/>
        <v>42370</v>
      </c>
      <c r="E112" s="4">
        <f>AVERAGE(All_India_Index_Upto_April23__1___1[[#This Row],[Cereals and products]:[Food and beverages]])</f>
        <v>130.00769230769231</v>
      </c>
      <c r="F112" s="5">
        <f>AVERAGE(All_India_Index_Upto_April23__1___1[[#This Row],[Pan, tobacco and intoxicants]])</f>
        <v>133.6</v>
      </c>
      <c r="G112" s="4">
        <f>AVERAGE(All_India_Index_Upto_April23__1___1[[#This Row],[Clothing]:[Clothing and footwear]])</f>
        <v>131.56666666666669</v>
      </c>
      <c r="H112" s="5">
        <f>AVERAGE(All_India_Index_Upto_April23__1___1[[#This Row],[Housing]:[Fuel and light]])</f>
        <v>126.2</v>
      </c>
      <c r="I112" s="5">
        <f>AVERAGE(All_India_Index_Upto_April23__1___1[[#This Row],[Household goods and services]:[Health]])</f>
        <v>125.15</v>
      </c>
      <c r="J112" s="5">
        <f>AVERAGE(All_India_Index_Upto_April23__1___1[[#This Row],[Transport and communication]])</f>
        <v>113.6</v>
      </c>
      <c r="K112" s="5">
        <f>AVERAGE(All_India_Index_Upto_April23__1___1[[#This Row],[Recreation and amusement]])</f>
        <v>121.4</v>
      </c>
      <c r="L112" s="5">
        <f>AVERAGE(All_India_Index_Upto_April23__1___1[[#This Row],[Education]])</f>
        <v>126.2</v>
      </c>
      <c r="M112" s="5">
        <f>AVERAGE(All_India_Index_Upto_April23__1___1[[#This Row],[Personal care and effects]])</f>
        <v>114.9</v>
      </c>
      <c r="N112" s="5">
        <f>AVERAGE(All_India_Index_Upto_April23__1___1[[#This Row],[Miscellaneous]])</f>
        <v>120.1</v>
      </c>
      <c r="O112" s="5">
        <f>AVERAGE(All_India_Index_Upto_April23__1___1[[#This Row],[General index]])</f>
        <v>128.1</v>
      </c>
      <c r="P112" s="2">
        <f t="shared" si="30"/>
        <v>1122.6243589743592</v>
      </c>
      <c r="R112" s="10">
        <f t="shared" si="21"/>
        <v>11.580694046801963</v>
      </c>
      <c r="S112" s="10">
        <f t="shared" si="22"/>
        <v>11.900686007032512</v>
      </c>
      <c r="T112" s="10">
        <f t="shared" si="23"/>
        <v>11.719562791855621</v>
      </c>
      <c r="U112" s="10">
        <f t="shared" si="24"/>
        <v>11.241516273110053</v>
      </c>
      <c r="V112" s="10">
        <f t="shared" si="25"/>
        <v>11.147985432485919</v>
      </c>
      <c r="W112" s="10">
        <f t="shared" si="26"/>
        <v>10.119146185620458</v>
      </c>
      <c r="X112" s="10">
        <f t="shared" si="27"/>
        <v>10.813946715971161</v>
      </c>
      <c r="Y112" s="10">
        <f t="shared" si="28"/>
        <v>11.241516273110053</v>
      </c>
      <c r="Z112" s="10">
        <f t="shared" si="29"/>
        <v>10.234946274012243</v>
      </c>
    </row>
    <row r="113" spans="1:26" hidden="1" x14ac:dyDescent="0.3">
      <c r="A113" s="5" t="s">
        <v>32</v>
      </c>
      <c r="B113" s="5">
        <v>2016</v>
      </c>
      <c r="C113" s="5" t="s">
        <v>31</v>
      </c>
      <c r="D113" s="21">
        <f t="shared" si="20"/>
        <v>42370</v>
      </c>
      <c r="E113" s="4">
        <f>AVERAGE(All_India_Index_Upto_April23__1___1[[#This Row],[Cereals and products]:[Food and beverages]])</f>
        <v>130.87692307692308</v>
      </c>
      <c r="F113" s="5">
        <f>AVERAGE(All_India_Index_Upto_April23__1___1[[#This Row],[Pan, tobacco and intoxicants]])</f>
        <v>139.5</v>
      </c>
      <c r="G113" s="4">
        <f>AVERAGE(All_India_Index_Upto_April23__1___1[[#This Row],[Clothing]:[Clothing and footwear]])</f>
        <v>123.5</v>
      </c>
      <c r="H113" s="5">
        <f>AVERAGE(All_India_Index_Upto_April23__1___1[[#This Row],[Housing]:[Fuel and light]])</f>
        <v>116.9</v>
      </c>
      <c r="I113" s="5">
        <f>AVERAGE(All_India_Index_Upto_April23__1___1[[#This Row],[Household goods and services]:[Health]])</f>
        <v>120.35</v>
      </c>
      <c r="J113" s="5">
        <f>AVERAGE(All_India_Index_Upto_April23__1___1[[#This Row],[Transport and communication]])</f>
        <v>108.9</v>
      </c>
      <c r="K113" s="5">
        <f>AVERAGE(All_India_Index_Upto_April23__1___1[[#This Row],[Recreation and amusement]])</f>
        <v>118.5</v>
      </c>
      <c r="L113" s="5">
        <f>AVERAGE(All_India_Index_Upto_April23__1___1[[#This Row],[Education]])</f>
        <v>126.4</v>
      </c>
      <c r="M113" s="5">
        <f>AVERAGE(All_India_Index_Upto_April23__1___1[[#This Row],[Personal care and effects]])</f>
        <v>114</v>
      </c>
      <c r="N113" s="5">
        <f>AVERAGE(All_India_Index_Upto_April23__1___1[[#This Row],[Miscellaneous]])</f>
        <v>116.8</v>
      </c>
      <c r="O113" s="5">
        <f>AVERAGE(All_India_Index_Upto_April23__1___1[[#This Row],[General index]])</f>
        <v>124.2</v>
      </c>
      <c r="P113" s="2">
        <f t="shared" si="30"/>
        <v>1098.926923076923</v>
      </c>
      <c r="R113" s="10">
        <f t="shared" si="21"/>
        <v>11.909520126277034</v>
      </c>
      <c r="S113" s="10">
        <f t="shared" si="22"/>
        <v>12.694201686260373</v>
      </c>
      <c r="T113" s="10">
        <f t="shared" si="23"/>
        <v>11.238235901456317</v>
      </c>
      <c r="U113" s="10">
        <f t="shared" si="24"/>
        <v>10.637650015224644</v>
      </c>
      <c r="V113" s="10">
        <f t="shared" si="25"/>
        <v>10.951592637573016</v>
      </c>
      <c r="W113" s="10">
        <f t="shared" si="26"/>
        <v>9.909667122822615</v>
      </c>
      <c r="X113" s="10">
        <f t="shared" si="27"/>
        <v>10.783246593705048</v>
      </c>
      <c r="Y113" s="10">
        <f t="shared" si="28"/>
        <v>11.502129699952054</v>
      </c>
      <c r="Z113" s="10">
        <f t="shared" si="29"/>
        <v>10.373756216728907</v>
      </c>
    </row>
    <row r="114" spans="1:26" hidden="1" x14ac:dyDescent="0.3">
      <c r="A114" s="6" t="s">
        <v>34</v>
      </c>
      <c r="B114" s="6">
        <v>2016</v>
      </c>
      <c r="C114" s="6" t="s">
        <v>31</v>
      </c>
      <c r="D114" s="21">
        <f t="shared" si="20"/>
        <v>42370</v>
      </c>
      <c r="E114" s="4">
        <f>AVERAGE(All_India_Index_Upto_April23__1___1[[#This Row],[Cereals and products]:[Food and beverages]])</f>
        <v>130.13076923076923</v>
      </c>
      <c r="F114" s="5">
        <f>AVERAGE(All_India_Index_Upto_April23__1___1[[#This Row],[Pan, tobacco and intoxicants]])</f>
        <v>135.19999999999999</v>
      </c>
      <c r="G114" s="4">
        <f>AVERAGE(All_India_Index_Upto_April23__1___1[[#This Row],[Clothing]:[Clothing and footwear]])</f>
        <v>128.29999999999998</v>
      </c>
      <c r="H114" s="5">
        <f>AVERAGE(All_India_Index_Upto_April23__1___1[[#This Row],[Housing]:[Fuel and light]])</f>
        <v>122.7</v>
      </c>
      <c r="I114" s="5">
        <f>AVERAGE(All_India_Index_Upto_April23__1___1[[#This Row],[Household goods and services]:[Health]])</f>
        <v>123.1</v>
      </c>
      <c r="J114" s="5">
        <f>AVERAGE(All_India_Index_Upto_April23__1___1[[#This Row],[Transport and communication]])</f>
        <v>111.1</v>
      </c>
      <c r="K114" s="5">
        <f>AVERAGE(All_India_Index_Upto_April23__1___1[[#This Row],[Recreation and amusement]])</f>
        <v>119.8</v>
      </c>
      <c r="L114" s="5">
        <f>AVERAGE(All_India_Index_Upto_April23__1___1[[#This Row],[Education]])</f>
        <v>126.3</v>
      </c>
      <c r="M114" s="5">
        <f>AVERAGE(All_India_Index_Upto_April23__1___1[[#This Row],[Personal care and effects]])</f>
        <v>114.5</v>
      </c>
      <c r="N114" s="5">
        <f>AVERAGE(All_India_Index_Upto_April23__1___1[[#This Row],[Miscellaneous]])</f>
        <v>118.5</v>
      </c>
      <c r="O114" s="5">
        <f>AVERAGE(All_India_Index_Upto_April23__1___1[[#This Row],[General index]])</f>
        <v>126.3</v>
      </c>
      <c r="P114" s="2">
        <f>AVERAGE(E114:N114)</f>
        <v>122.96307692307691</v>
      </c>
      <c r="R114" s="10">
        <f t="shared" si="21"/>
        <v>105.8291419563096</v>
      </c>
      <c r="S114" s="10">
        <f t="shared" si="22"/>
        <v>109.95170532742786</v>
      </c>
      <c r="T114" s="10">
        <f t="shared" si="23"/>
        <v>104.34026474488903</v>
      </c>
      <c r="U114" s="10">
        <f t="shared" si="24"/>
        <v>99.786052098190837</v>
      </c>
      <c r="V114" s="10">
        <f t="shared" si="25"/>
        <v>100.11135300152642</v>
      </c>
      <c r="W114" s="10">
        <f t="shared" si="26"/>
        <v>90.352325901458855</v>
      </c>
      <c r="X114" s="10">
        <f t="shared" si="27"/>
        <v>97.427620549007841</v>
      </c>
      <c r="Y114" s="10">
        <f t="shared" si="28"/>
        <v>102.7137602282111</v>
      </c>
      <c r="Z114" s="10">
        <f t="shared" si="29"/>
        <v>93.117383579811332</v>
      </c>
    </row>
    <row r="115" spans="1:26" hidden="1" x14ac:dyDescent="0.3">
      <c r="A115" s="5" t="s">
        <v>30</v>
      </c>
      <c r="B115" s="5">
        <v>2016</v>
      </c>
      <c r="C115" s="5" t="s">
        <v>35</v>
      </c>
      <c r="D115" s="21">
        <f t="shared" si="20"/>
        <v>42401</v>
      </c>
      <c r="E115" s="4">
        <f>AVERAGE(All_India_Index_Upto_April23__1___1[[#This Row],[Cereals and products]:[Food and beverages]])</f>
        <v>129.43076923076922</v>
      </c>
      <c r="F115" s="5">
        <f>AVERAGE(All_India_Index_Upto_April23__1___1[[#This Row],[Pan, tobacco and intoxicants]])</f>
        <v>134.4</v>
      </c>
      <c r="G115" s="4">
        <f>AVERAGE(All_India_Index_Upto_April23__1___1[[#This Row],[Clothing]:[Clothing and footwear]])</f>
        <v>132.36666666666667</v>
      </c>
      <c r="H115" s="5">
        <f>AVERAGE(All_India_Index_Upto_April23__1___1[[#This Row],[Housing]:[Fuel and light]])</f>
        <v>127.5</v>
      </c>
      <c r="I115" s="5">
        <f>AVERAGE(All_India_Index_Upto_April23__1___1[[#This Row],[Household goods and services]:[Health]])</f>
        <v>125.69999999999999</v>
      </c>
      <c r="J115" s="5">
        <f>AVERAGE(All_India_Index_Upto_April23__1___1[[#This Row],[Transport and communication]])</f>
        <v>113.9</v>
      </c>
      <c r="K115" s="5">
        <f>AVERAGE(All_India_Index_Upto_April23__1___1[[#This Row],[Recreation and amusement]])</f>
        <v>122.3</v>
      </c>
      <c r="L115" s="5">
        <f>AVERAGE(All_India_Index_Upto_April23__1___1[[#This Row],[Education]])</f>
        <v>127.1</v>
      </c>
      <c r="M115" s="5">
        <f>AVERAGE(All_India_Index_Upto_April23__1___1[[#This Row],[Personal care and effects]])</f>
        <v>116.8</v>
      </c>
      <c r="N115" s="5">
        <f>AVERAGE(All_India_Index_Upto_April23__1___1[[#This Row],[Miscellaneous]])</f>
        <v>120.9</v>
      </c>
      <c r="O115" s="5">
        <f>AVERAGE(All_India_Index_Upto_April23__1___1[[#This Row],[General index]])</f>
        <v>127.9</v>
      </c>
      <c r="P115" s="2">
        <f t="shared" si="30"/>
        <v>1129.4974358974357</v>
      </c>
      <c r="R115" s="10">
        <f t="shared" si="21"/>
        <v>11.459146795488804</v>
      </c>
      <c r="S115" s="10">
        <f t="shared" si="22"/>
        <v>11.899097397526472</v>
      </c>
      <c r="T115" s="10">
        <f t="shared" si="23"/>
        <v>11.719076330748418</v>
      </c>
      <c r="U115" s="10">
        <f t="shared" si="24"/>
        <v>11.288206236492746</v>
      </c>
      <c r="V115" s="10">
        <f t="shared" si="25"/>
        <v>11.12884332491873</v>
      </c>
      <c r="W115" s="10">
        <f t="shared" si="26"/>
        <v>10.084130904600187</v>
      </c>
      <c r="X115" s="10">
        <f t="shared" si="27"/>
        <v>10.827824491945591</v>
      </c>
      <c r="Y115" s="10">
        <f t="shared" si="28"/>
        <v>11.252792256142966</v>
      </c>
      <c r="Z115" s="10">
        <f t="shared" si="29"/>
        <v>10.3408822621361</v>
      </c>
    </row>
    <row r="116" spans="1:26" hidden="1" x14ac:dyDescent="0.3">
      <c r="A116" s="6" t="s">
        <v>32</v>
      </c>
      <c r="B116" s="6">
        <v>2016</v>
      </c>
      <c r="C116" s="6" t="s">
        <v>35</v>
      </c>
      <c r="D116" s="21">
        <f t="shared" si="20"/>
        <v>42401</v>
      </c>
      <c r="E116" s="4">
        <f>AVERAGE(All_India_Index_Upto_April23__1___1[[#This Row],[Cereals and products]:[Food and beverages]])</f>
        <v>128.93076923076922</v>
      </c>
      <c r="F116" s="5">
        <f>AVERAGE(All_India_Index_Upto_April23__1___1[[#This Row],[Pan, tobacco and intoxicants]])</f>
        <v>140</v>
      </c>
      <c r="G116" s="4">
        <f>AVERAGE(All_India_Index_Upto_April23__1___1[[#This Row],[Clothing]:[Clothing and footwear]])</f>
        <v>123.86666666666667</v>
      </c>
      <c r="H116" s="5">
        <f>AVERAGE(All_India_Index_Upto_April23__1___1[[#This Row],[Housing]:[Fuel and light]])</f>
        <v>116</v>
      </c>
      <c r="I116" s="5">
        <f>AVERAGE(All_India_Index_Upto_April23__1___1[[#This Row],[Household goods and services]:[Health]])</f>
        <v>120.65</v>
      </c>
      <c r="J116" s="5">
        <f>AVERAGE(All_India_Index_Upto_April23__1___1[[#This Row],[Transport and communication]])</f>
        <v>109.1</v>
      </c>
      <c r="K116" s="5">
        <f>AVERAGE(All_India_Index_Upto_April23__1___1[[#This Row],[Recreation and amusement]])</f>
        <v>118.8</v>
      </c>
      <c r="L116" s="5">
        <f>AVERAGE(All_India_Index_Upto_April23__1___1[[#This Row],[Education]])</f>
        <v>126.3</v>
      </c>
      <c r="M116" s="5">
        <f>AVERAGE(All_India_Index_Upto_April23__1___1[[#This Row],[Personal care and effects]])</f>
        <v>116.2</v>
      </c>
      <c r="N116" s="5">
        <f>AVERAGE(All_India_Index_Upto_April23__1___1[[#This Row],[Miscellaneous]])</f>
        <v>117.2</v>
      </c>
      <c r="O116" s="5">
        <f>AVERAGE(All_India_Index_Upto_April23__1___1[[#This Row],[General index]])</f>
        <v>123.8</v>
      </c>
      <c r="P116" s="2">
        <f t="shared" si="30"/>
        <v>1099.8474358974358</v>
      </c>
      <c r="R116" s="10">
        <f t="shared" si="21"/>
        <v>11.722604883427886</v>
      </c>
      <c r="S116" s="10">
        <f t="shared" si="22"/>
        <v>12.729038176623565</v>
      </c>
      <c r="T116" s="10">
        <f t="shared" si="23"/>
        <v>11.262168062936469</v>
      </c>
      <c r="U116" s="10">
        <f t="shared" si="24"/>
        <v>10.546917346345239</v>
      </c>
      <c r="V116" s="10">
        <f t="shared" si="25"/>
        <v>10.969703257211666</v>
      </c>
      <c r="W116" s="10">
        <f t="shared" si="26"/>
        <v>9.9195576076402219</v>
      </c>
      <c r="X116" s="10">
        <f t="shared" si="27"/>
        <v>10.801498109877711</v>
      </c>
      <c r="Y116" s="10">
        <f t="shared" si="28"/>
        <v>11.483410869339687</v>
      </c>
      <c r="Z116" s="10">
        <f t="shared" si="29"/>
        <v>10.56510168659756</v>
      </c>
    </row>
    <row r="117" spans="1:26" hidden="1" x14ac:dyDescent="0.3">
      <c r="A117" s="5" t="s">
        <v>34</v>
      </c>
      <c r="B117" s="5">
        <v>2016</v>
      </c>
      <c r="C117" s="5" t="s">
        <v>35</v>
      </c>
      <c r="D117" s="21">
        <f t="shared" si="20"/>
        <v>42401</v>
      </c>
      <c r="E117" s="4">
        <f>AVERAGE(All_India_Index_Upto_April23__1___1[[#This Row],[Cereals and products]:[Food and beverages]])</f>
        <v>129.08461538461538</v>
      </c>
      <c r="F117" s="5">
        <f>AVERAGE(All_India_Index_Upto_April23__1___1[[#This Row],[Pan, tobacco and intoxicants]])</f>
        <v>135.9</v>
      </c>
      <c r="G117" s="4">
        <f>AVERAGE(All_India_Index_Upto_April23__1___1[[#This Row],[Clothing]:[Clothing and footwear]])</f>
        <v>128.96666666666667</v>
      </c>
      <c r="H117" s="5">
        <f>AVERAGE(All_India_Index_Upto_April23__1___1[[#This Row],[Housing]:[Fuel and light]])</f>
        <v>123.1</v>
      </c>
      <c r="I117" s="5">
        <f>AVERAGE(All_India_Index_Upto_April23__1___1[[#This Row],[Household goods and services]:[Health]])</f>
        <v>123.55</v>
      </c>
      <c r="J117" s="5">
        <f>AVERAGE(All_India_Index_Upto_April23__1___1[[#This Row],[Transport and communication]])</f>
        <v>111.4</v>
      </c>
      <c r="K117" s="5">
        <f>AVERAGE(All_India_Index_Upto_April23__1___1[[#This Row],[Recreation and amusement]])</f>
        <v>120.3</v>
      </c>
      <c r="L117" s="5">
        <f>AVERAGE(All_India_Index_Upto_April23__1___1[[#This Row],[Education]])</f>
        <v>126.6</v>
      </c>
      <c r="M117" s="5">
        <f>AVERAGE(All_India_Index_Upto_April23__1___1[[#This Row],[Personal care and effects]])</f>
        <v>116.6</v>
      </c>
      <c r="N117" s="5">
        <f>AVERAGE(All_India_Index_Upto_April23__1___1[[#This Row],[Miscellaneous]])</f>
        <v>119.1</v>
      </c>
      <c r="O117" s="5">
        <f>AVERAGE(All_India_Index_Upto_April23__1___1[[#This Row],[General index]])</f>
        <v>126</v>
      </c>
      <c r="P117" s="2">
        <f>AVERAGE(E117:N117)</f>
        <v>123.4601282051282</v>
      </c>
      <c r="R117" s="10">
        <f t="shared" si="21"/>
        <v>104.55571143595617</v>
      </c>
      <c r="S117" s="10">
        <f t="shared" si="22"/>
        <v>110.07602371366652</v>
      </c>
      <c r="T117" s="10">
        <f t="shared" si="23"/>
        <v>104.46017555756089</v>
      </c>
      <c r="U117" s="10">
        <f t="shared" si="24"/>
        <v>99.70830404085612</v>
      </c>
      <c r="V117" s="10">
        <f t="shared" si="25"/>
        <v>100.07279418560337</v>
      </c>
      <c r="W117" s="10">
        <f t="shared" si="26"/>
        <v>90.231560277427889</v>
      </c>
      <c r="X117" s="10">
        <f t="shared" si="27"/>
        <v>97.440365362428864</v>
      </c>
      <c r="Y117" s="10">
        <f t="shared" si="28"/>
        <v>102.54322738889022</v>
      </c>
      <c r="Z117" s="10">
        <f t="shared" si="29"/>
        <v>94.443446394507106</v>
      </c>
    </row>
    <row r="118" spans="1:26" hidden="1" x14ac:dyDescent="0.3">
      <c r="A118" s="6" t="s">
        <v>30</v>
      </c>
      <c r="B118" s="6">
        <v>2016</v>
      </c>
      <c r="C118" s="6" t="s">
        <v>37</v>
      </c>
      <c r="D118" s="21">
        <f t="shared" si="20"/>
        <v>42430</v>
      </c>
      <c r="E118" s="4">
        <f>AVERAGE(All_India_Index_Upto_April23__1___1[[#This Row],[Cereals and products]:[Food and beverages]])</f>
        <v>129.43846153846155</v>
      </c>
      <c r="F118" s="5">
        <f>AVERAGE(All_India_Index_Upto_April23__1___1[[#This Row],[Pan, tobacco and intoxicants]])</f>
        <v>135</v>
      </c>
      <c r="G118" s="4">
        <f>AVERAGE(All_India_Index_Upto_April23__1___1[[#This Row],[Clothing]:[Clothing and footwear]])</f>
        <v>132.80000000000001</v>
      </c>
      <c r="H118" s="5">
        <f>AVERAGE(All_India_Index_Upto_April23__1___1[[#This Row],[Housing]:[Fuel and light]])</f>
        <v>127</v>
      </c>
      <c r="I118" s="5">
        <f>AVERAGE(All_India_Index_Upto_April23__1___1[[#This Row],[Household goods and services]:[Health]])</f>
        <v>126.25</v>
      </c>
      <c r="J118" s="5">
        <f>AVERAGE(All_India_Index_Upto_April23__1___1[[#This Row],[Transport and communication]])</f>
        <v>113.6</v>
      </c>
      <c r="K118" s="5">
        <f>AVERAGE(All_India_Index_Upto_April23__1___1[[#This Row],[Recreation and amusement]])</f>
        <v>122.5</v>
      </c>
      <c r="L118" s="5">
        <f>AVERAGE(All_India_Index_Upto_April23__1___1[[#This Row],[Education]])</f>
        <v>127.5</v>
      </c>
      <c r="M118" s="5">
        <f>AVERAGE(All_India_Index_Upto_April23__1___1[[#This Row],[Personal care and effects]])</f>
        <v>117.4</v>
      </c>
      <c r="N118" s="5">
        <f>AVERAGE(All_India_Index_Upto_April23__1___1[[#This Row],[Miscellaneous]])</f>
        <v>121.1</v>
      </c>
      <c r="O118" s="5">
        <f>AVERAGE(All_India_Index_Upto_April23__1___1[[#This Row],[General index]])</f>
        <v>128</v>
      </c>
      <c r="P118" s="2">
        <f t="shared" si="30"/>
        <v>1131.4884615384615</v>
      </c>
      <c r="R118" s="10">
        <f t="shared" si="21"/>
        <v>11.439662527576001</v>
      </c>
      <c r="S118" s="10">
        <f t="shared" si="22"/>
        <v>11.931186626193545</v>
      </c>
      <c r="T118" s="10">
        <f t="shared" si="23"/>
        <v>11.736752473766687</v>
      </c>
      <c r="U118" s="10">
        <f t="shared" si="24"/>
        <v>11.224153344641334</v>
      </c>
      <c r="V118" s="10">
        <f t="shared" si="25"/>
        <v>11.157868974495814</v>
      </c>
      <c r="W118" s="10">
        <f t="shared" si="26"/>
        <v>10.039872598041381</v>
      </c>
      <c r="X118" s="10">
        <f t="shared" si="27"/>
        <v>10.826447123768217</v>
      </c>
      <c r="Y118" s="10">
        <f t="shared" si="28"/>
        <v>11.268342924738347</v>
      </c>
      <c r="Z118" s="10">
        <f t="shared" si="29"/>
        <v>10.375713406778683</v>
      </c>
    </row>
    <row r="119" spans="1:26" hidden="1" x14ac:dyDescent="0.3">
      <c r="A119" s="5" t="s">
        <v>32</v>
      </c>
      <c r="B119" s="5">
        <v>2016</v>
      </c>
      <c r="C119" s="5" t="s">
        <v>37</v>
      </c>
      <c r="D119" s="21">
        <f t="shared" si="20"/>
        <v>42430</v>
      </c>
      <c r="E119" s="4">
        <f>AVERAGE(All_India_Index_Upto_April23__1___1[[#This Row],[Cereals and products]:[Food and beverages]])</f>
        <v>128.27692307692308</v>
      </c>
      <c r="F119" s="5">
        <f>AVERAGE(All_India_Index_Upto_April23__1___1[[#This Row],[Pan, tobacco and intoxicants]])</f>
        <v>140.6</v>
      </c>
      <c r="G119" s="4">
        <f>AVERAGE(All_India_Index_Upto_April23__1___1[[#This Row],[Clothing]:[Clothing and footwear]])</f>
        <v>124.06666666666666</v>
      </c>
      <c r="H119" s="5">
        <f>AVERAGE(All_India_Index_Upto_April23__1___1[[#This Row],[Housing]:[Fuel and light]])</f>
        <v>114.8</v>
      </c>
      <c r="I119" s="5">
        <f>AVERAGE(All_India_Index_Upto_April23__1___1[[#This Row],[Household goods and services]:[Health]])</f>
        <v>121</v>
      </c>
      <c r="J119" s="5">
        <f>AVERAGE(All_India_Index_Upto_April23__1___1[[#This Row],[Transport and communication]])</f>
        <v>108.5</v>
      </c>
      <c r="K119" s="5">
        <f>AVERAGE(All_India_Index_Upto_April23__1___1[[#This Row],[Recreation and amusement]])</f>
        <v>119.1</v>
      </c>
      <c r="L119" s="5">
        <f>AVERAGE(All_India_Index_Upto_April23__1___1[[#This Row],[Education]])</f>
        <v>126.4</v>
      </c>
      <c r="M119" s="5">
        <f>AVERAGE(All_India_Index_Upto_April23__1___1[[#This Row],[Personal care and effects]])</f>
        <v>117.1</v>
      </c>
      <c r="N119" s="5">
        <f>AVERAGE(All_India_Index_Upto_April23__1___1[[#This Row],[Miscellaneous]])</f>
        <v>117.3</v>
      </c>
      <c r="O119" s="5">
        <f>AVERAGE(All_India_Index_Upto_April23__1___1[[#This Row],[General index]])</f>
        <v>123.8</v>
      </c>
      <c r="P119" s="2">
        <f t="shared" si="30"/>
        <v>1099.8435897435897</v>
      </c>
      <c r="R119" s="10">
        <f t="shared" si="21"/>
        <v>11.663196864822272</v>
      </c>
      <c r="S119" s="10">
        <f t="shared" si="22"/>
        <v>12.783635901608386</v>
      </c>
      <c r="T119" s="10">
        <f t="shared" si="23"/>
        <v>11.280391850589478</v>
      </c>
      <c r="U119" s="10">
        <f t="shared" si="24"/>
        <v>10.43784780586517</v>
      </c>
      <c r="V119" s="10">
        <f t="shared" si="25"/>
        <v>11.001564324997261</v>
      </c>
      <c r="W119" s="10">
        <f t="shared" si="26"/>
        <v>9.8650390848115936</v>
      </c>
      <c r="X119" s="10">
        <f t="shared" si="27"/>
        <v>10.828812488489039</v>
      </c>
      <c r="Y119" s="10">
        <f t="shared" si="28"/>
        <v>11.492543228757469</v>
      </c>
      <c r="Z119" s="10">
        <f t="shared" si="29"/>
        <v>10.646968450059333</v>
      </c>
    </row>
    <row r="120" spans="1:26" hidden="1" x14ac:dyDescent="0.3">
      <c r="A120" s="6" t="s">
        <v>34</v>
      </c>
      <c r="B120" s="6">
        <v>2016</v>
      </c>
      <c r="C120" s="6" t="s">
        <v>37</v>
      </c>
      <c r="D120" s="21">
        <f t="shared" si="20"/>
        <v>42430</v>
      </c>
      <c r="E120" s="4">
        <f>AVERAGE(All_India_Index_Upto_April23__1___1[[#This Row],[Cereals and products]:[Food and beverages]])</f>
        <v>128.86153846153846</v>
      </c>
      <c r="F120" s="5">
        <f>AVERAGE(All_India_Index_Upto_April23__1___1[[#This Row],[Pan, tobacco and intoxicants]])</f>
        <v>136.5</v>
      </c>
      <c r="G120" s="4">
        <f>AVERAGE(All_India_Index_Upto_April23__1___1[[#This Row],[Clothing]:[Clothing and footwear]])</f>
        <v>129.29999999999998</v>
      </c>
      <c r="H120" s="5">
        <f>AVERAGE(All_India_Index_Upto_April23__1___1[[#This Row],[Housing]:[Fuel and light]])</f>
        <v>122.4</v>
      </c>
      <c r="I120" s="5">
        <f>AVERAGE(All_India_Index_Upto_April23__1___1[[#This Row],[Household goods and services]:[Health]])</f>
        <v>124</v>
      </c>
      <c r="J120" s="5">
        <f>AVERAGE(All_India_Index_Upto_April23__1___1[[#This Row],[Transport and communication]])</f>
        <v>110.9</v>
      </c>
      <c r="K120" s="5">
        <f>AVERAGE(All_India_Index_Upto_April23__1___1[[#This Row],[Recreation and amusement]])</f>
        <v>120.6</v>
      </c>
      <c r="L120" s="5">
        <f>AVERAGE(All_India_Index_Upto_April23__1___1[[#This Row],[Education]])</f>
        <v>126.9</v>
      </c>
      <c r="M120" s="5">
        <f>AVERAGE(All_India_Index_Upto_April23__1___1[[#This Row],[Personal care and effects]])</f>
        <v>117.3</v>
      </c>
      <c r="N120" s="5">
        <f>AVERAGE(All_India_Index_Upto_April23__1___1[[#This Row],[Miscellaneous]])</f>
        <v>119.3</v>
      </c>
      <c r="O120" s="5">
        <f>AVERAGE(All_India_Index_Upto_April23__1___1[[#This Row],[General index]])</f>
        <v>126</v>
      </c>
      <c r="P120" s="2">
        <f>AVERAGE(E120:N120)</f>
        <v>123.60615384615383</v>
      </c>
      <c r="R120" s="10">
        <f t="shared" si="21"/>
        <v>104.25171761425869</v>
      </c>
      <c r="S120" s="10">
        <f t="shared" si="22"/>
        <v>110.4313950014936</v>
      </c>
      <c r="T120" s="10">
        <f t="shared" si="23"/>
        <v>104.60644229811808</v>
      </c>
      <c r="U120" s="10">
        <f t="shared" si="24"/>
        <v>99.02419595738327</v>
      </c>
      <c r="V120" s="10">
        <f t="shared" si="25"/>
        <v>100.31862989146671</v>
      </c>
      <c r="W120" s="10">
        <f t="shared" si="26"/>
        <v>89.720452056158535</v>
      </c>
      <c r="X120" s="10">
        <f t="shared" si="27"/>
        <v>97.567957781539391</v>
      </c>
      <c r="Y120" s="10">
        <f t="shared" si="28"/>
        <v>102.66479139699294</v>
      </c>
      <c r="Z120" s="10">
        <f t="shared" si="29"/>
        <v>94.898187792492294</v>
      </c>
    </row>
    <row r="121" spans="1:26" hidden="1" x14ac:dyDescent="0.3">
      <c r="A121" s="5" t="s">
        <v>30</v>
      </c>
      <c r="B121" s="5">
        <v>2016</v>
      </c>
      <c r="C121" s="5" t="s">
        <v>38</v>
      </c>
      <c r="D121" s="21">
        <f t="shared" si="20"/>
        <v>42461</v>
      </c>
      <c r="E121" s="4">
        <f>AVERAGE(All_India_Index_Upto_April23__1___1[[#This Row],[Cereals and products]:[Food and beverages]])</f>
        <v>130.89230769230772</v>
      </c>
      <c r="F121" s="5">
        <f>AVERAGE(All_India_Index_Upto_April23__1___1[[#This Row],[Pan, tobacco and intoxicants]])</f>
        <v>135.5</v>
      </c>
      <c r="G121" s="4">
        <f>AVERAGE(All_India_Index_Upto_April23__1___1[[#This Row],[Clothing]:[Clothing and footwear]])</f>
        <v>133.33333333333334</v>
      </c>
      <c r="H121" s="5">
        <f>AVERAGE(All_India_Index_Upto_April23__1___1[[#This Row],[Housing]:[Fuel and light]])</f>
        <v>127</v>
      </c>
      <c r="I121" s="5">
        <f>AVERAGE(All_India_Index_Upto_April23__1___1[[#This Row],[Household goods and services]:[Health]])</f>
        <v>126.6</v>
      </c>
      <c r="J121" s="5">
        <f>AVERAGE(All_India_Index_Upto_April23__1___1[[#This Row],[Transport and communication]])</f>
        <v>114.4</v>
      </c>
      <c r="K121" s="5">
        <f>AVERAGE(All_India_Index_Upto_April23__1___1[[#This Row],[Recreation and amusement]])</f>
        <v>123.2</v>
      </c>
      <c r="L121" s="5">
        <f>AVERAGE(All_India_Index_Upto_April23__1___1[[#This Row],[Education]])</f>
        <v>127.9</v>
      </c>
      <c r="M121" s="5">
        <f>AVERAGE(All_India_Index_Upto_April23__1___1[[#This Row],[Personal care and effects]])</f>
        <v>118.4</v>
      </c>
      <c r="N121" s="5">
        <f>AVERAGE(All_India_Index_Upto_April23__1___1[[#This Row],[Miscellaneous]])</f>
        <v>121.7</v>
      </c>
      <c r="O121" s="5">
        <f>AVERAGE(All_India_Index_Upto_April23__1___1[[#This Row],[General index]])</f>
        <v>129</v>
      </c>
      <c r="P121" s="2">
        <f t="shared" si="30"/>
        <v>1137.2256410256412</v>
      </c>
      <c r="R121" s="10">
        <f t="shared" si="21"/>
        <v>11.509792161761192</v>
      </c>
      <c r="S121" s="10">
        <f t="shared" si="22"/>
        <v>11.914961737742322</v>
      </c>
      <c r="T121" s="10">
        <f t="shared" si="23"/>
        <v>11.724439594334388</v>
      </c>
      <c r="U121" s="10">
        <f t="shared" si="24"/>
        <v>11.167528713603506</v>
      </c>
      <c r="V121" s="10">
        <f t="shared" si="25"/>
        <v>11.132355394820502</v>
      </c>
      <c r="W121" s="10">
        <f t="shared" si="26"/>
        <v>10.059569171938906</v>
      </c>
      <c r="X121" s="10">
        <f t="shared" si="27"/>
        <v>10.833382185164975</v>
      </c>
      <c r="Y121" s="10">
        <f t="shared" si="28"/>
        <v>11.246668680865263</v>
      </c>
      <c r="Z121" s="10">
        <f t="shared" si="29"/>
        <v>10.411302359768939</v>
      </c>
    </row>
    <row r="122" spans="1:26" hidden="1" x14ac:dyDescent="0.3">
      <c r="A122" s="6" t="s">
        <v>32</v>
      </c>
      <c r="B122" s="6">
        <v>2016</v>
      </c>
      <c r="C122" s="6" t="s">
        <v>38</v>
      </c>
      <c r="D122" s="21">
        <f t="shared" si="20"/>
        <v>42461</v>
      </c>
      <c r="E122" s="4">
        <f>AVERAGE(All_India_Index_Upto_April23__1___1[[#This Row],[Cereals and products]:[Food and beverages]])</f>
        <v>131.25384615384615</v>
      </c>
      <c r="F122" s="5">
        <f>AVERAGE(All_India_Index_Upto_April23__1___1[[#This Row],[Pan, tobacco and intoxicants]])</f>
        <v>141.5</v>
      </c>
      <c r="G122" s="4">
        <f>AVERAGE(All_India_Index_Upto_April23__1___1[[#This Row],[Clothing]:[Clothing and footwear]])</f>
        <v>124.36666666666667</v>
      </c>
      <c r="H122" s="5">
        <f>AVERAGE(All_India_Index_Upto_April23__1___1[[#This Row],[Housing]:[Fuel and light]])</f>
        <v>114.6</v>
      </c>
      <c r="I122" s="5">
        <f>AVERAGE(All_India_Index_Upto_April23__1___1[[#This Row],[Household goods and services]:[Health]])</f>
        <v>121.4</v>
      </c>
      <c r="J122" s="5">
        <f>AVERAGE(All_India_Index_Upto_April23__1___1[[#This Row],[Transport and communication]])</f>
        <v>110</v>
      </c>
      <c r="K122" s="5">
        <f>AVERAGE(All_India_Index_Upto_April23__1___1[[#This Row],[Recreation and amusement]])</f>
        <v>119.5</v>
      </c>
      <c r="L122" s="5">
        <f>AVERAGE(All_India_Index_Upto_April23__1___1[[#This Row],[Education]])</f>
        <v>127.6</v>
      </c>
      <c r="M122" s="5">
        <f>AVERAGE(All_India_Index_Upto_April23__1___1[[#This Row],[Personal care and effects]])</f>
        <v>117.6</v>
      </c>
      <c r="N122" s="5">
        <f>AVERAGE(All_India_Index_Upto_April23__1___1[[#This Row],[Miscellaneous]])</f>
        <v>118.2</v>
      </c>
      <c r="O122" s="5">
        <f>AVERAGE(All_India_Index_Upto_April23__1___1[[#This Row],[General index]])</f>
        <v>125.3</v>
      </c>
      <c r="P122" s="2">
        <f t="shared" si="30"/>
        <v>1107.8205128205127</v>
      </c>
      <c r="R122" s="10">
        <f t="shared" si="21"/>
        <v>11.847934266867261</v>
      </c>
      <c r="S122" s="10">
        <f t="shared" si="22"/>
        <v>12.772827219071866</v>
      </c>
      <c r="T122" s="10">
        <f t="shared" si="23"/>
        <v>11.226246962157159</v>
      </c>
      <c r="U122" s="10">
        <f t="shared" si="24"/>
        <v>10.344636037495661</v>
      </c>
      <c r="V122" s="10">
        <f t="shared" si="25"/>
        <v>10.958453882652472</v>
      </c>
      <c r="W122" s="10">
        <f t="shared" si="26"/>
        <v>9.929406318713113</v>
      </c>
      <c r="X122" s="10">
        <f t="shared" si="27"/>
        <v>10.786945955329246</v>
      </c>
      <c r="Y122" s="10">
        <f t="shared" si="28"/>
        <v>11.51811132970721</v>
      </c>
      <c r="Z122" s="10">
        <f t="shared" si="29"/>
        <v>10.615438028006018</v>
      </c>
    </row>
    <row r="123" spans="1:26" hidden="1" x14ac:dyDescent="0.3">
      <c r="A123" s="5" t="s">
        <v>34</v>
      </c>
      <c r="B123" s="5">
        <v>2016</v>
      </c>
      <c r="C123" s="5" t="s">
        <v>38</v>
      </c>
      <c r="D123" s="21">
        <f t="shared" si="20"/>
        <v>42461</v>
      </c>
      <c r="E123" s="4">
        <f>AVERAGE(All_India_Index_Upto_April23__1___1[[#This Row],[Cereals and products]:[Food and beverages]])</f>
        <v>130.86923076923077</v>
      </c>
      <c r="F123" s="5">
        <f>AVERAGE(All_India_Index_Upto_April23__1___1[[#This Row],[Pan, tobacco and intoxicants]])</f>
        <v>137.1</v>
      </c>
      <c r="G123" s="4">
        <f>AVERAGE(All_India_Index_Upto_April23__1___1[[#This Row],[Clothing]:[Clothing and footwear]])</f>
        <v>129.73333333333335</v>
      </c>
      <c r="H123" s="5">
        <f>AVERAGE(All_India_Index_Upto_April23__1___1[[#This Row],[Housing]:[Fuel and light]])</f>
        <v>122.3</v>
      </c>
      <c r="I123" s="5">
        <f>AVERAGE(All_India_Index_Upto_April23__1___1[[#This Row],[Household goods and services]:[Health]])</f>
        <v>124.35</v>
      </c>
      <c r="J123" s="5">
        <f>AVERAGE(All_India_Index_Upto_April23__1___1[[#This Row],[Transport and communication]])</f>
        <v>112.1</v>
      </c>
      <c r="K123" s="5">
        <f>AVERAGE(All_India_Index_Upto_April23__1___1[[#This Row],[Recreation and amusement]])</f>
        <v>121.1</v>
      </c>
      <c r="L123" s="5">
        <f>AVERAGE(All_India_Index_Upto_April23__1___1[[#This Row],[Education]])</f>
        <v>127.7</v>
      </c>
      <c r="M123" s="5">
        <f>AVERAGE(All_India_Index_Upto_April23__1___1[[#This Row],[Personal care and effects]])</f>
        <v>118.1</v>
      </c>
      <c r="N123" s="5">
        <f>AVERAGE(All_India_Index_Upto_April23__1___1[[#This Row],[Miscellaneous]])</f>
        <v>120</v>
      </c>
      <c r="O123" s="5">
        <f>AVERAGE(All_India_Index_Upto_April23__1___1[[#This Row],[General index]])</f>
        <v>127.3</v>
      </c>
      <c r="P123" s="2">
        <f>AVERAGE(E123:N123)</f>
        <v>124.33525641025642</v>
      </c>
      <c r="R123" s="10">
        <f t="shared" si="21"/>
        <v>105.25512597763492</v>
      </c>
      <c r="S123" s="10">
        <f t="shared" si="22"/>
        <v>110.26639101271891</v>
      </c>
      <c r="T123" s="10">
        <f t="shared" si="23"/>
        <v>104.34154967700027</v>
      </c>
      <c r="U123" s="10">
        <f t="shared" si="24"/>
        <v>98.363089867655162</v>
      </c>
      <c r="V123" s="10">
        <f t="shared" si="25"/>
        <v>100.01185793166736</v>
      </c>
      <c r="W123" s="10">
        <f t="shared" si="26"/>
        <v>90.159463402813927</v>
      </c>
      <c r="X123" s="10">
        <f t="shared" si="27"/>
        <v>97.397957342379712</v>
      </c>
      <c r="Y123" s="10">
        <f t="shared" si="28"/>
        <v>102.70618623139465</v>
      </c>
      <c r="Z123" s="10">
        <f t="shared" si="29"/>
        <v>94.985126029191122</v>
      </c>
    </row>
    <row r="124" spans="1:26" hidden="1" x14ac:dyDescent="0.3">
      <c r="A124" s="6" t="s">
        <v>30</v>
      </c>
      <c r="B124" s="6">
        <v>2016</v>
      </c>
      <c r="C124" s="6" t="s">
        <v>40</v>
      </c>
      <c r="D124" s="21">
        <f t="shared" si="20"/>
        <v>42491</v>
      </c>
      <c r="E124" s="4">
        <f>AVERAGE(All_India_Index_Upto_April23__1___1[[#This Row],[Cereals and products]:[Food and beverages]])</f>
        <v>132.59230769230768</v>
      </c>
      <c r="F124" s="5">
        <f>AVERAGE(All_India_Index_Upto_April23__1___1[[#This Row],[Pan, tobacco and intoxicants]])</f>
        <v>136</v>
      </c>
      <c r="G124" s="4">
        <f>AVERAGE(All_India_Index_Upto_April23__1___1[[#This Row],[Clothing]:[Clothing and footwear]])</f>
        <v>133.76666666666668</v>
      </c>
      <c r="H124" s="5">
        <f>AVERAGE(All_India_Index_Upto_April23__1___1[[#This Row],[Housing]:[Fuel and light]])</f>
        <v>127.4</v>
      </c>
      <c r="I124" s="5">
        <f>AVERAGE(All_India_Index_Upto_April23__1___1[[#This Row],[Household goods and services]:[Health]])</f>
        <v>127.15</v>
      </c>
      <c r="J124" s="5">
        <f>AVERAGE(All_India_Index_Upto_April23__1___1[[#This Row],[Transport and communication]])</f>
        <v>115.1</v>
      </c>
      <c r="K124" s="5">
        <f>AVERAGE(All_India_Index_Upto_April23__1___1[[#This Row],[Recreation and amusement]])</f>
        <v>123.6</v>
      </c>
      <c r="L124" s="5">
        <f>AVERAGE(All_India_Index_Upto_April23__1___1[[#This Row],[Education]])</f>
        <v>129.1</v>
      </c>
      <c r="M124" s="5">
        <f>AVERAGE(All_India_Index_Upto_April23__1___1[[#This Row],[Personal care and effects]])</f>
        <v>119.7</v>
      </c>
      <c r="N124" s="5">
        <f>AVERAGE(All_India_Index_Upto_April23__1___1[[#This Row],[Miscellaneous]])</f>
        <v>122.5</v>
      </c>
      <c r="O124" s="5">
        <f>AVERAGE(All_India_Index_Upto_April23__1___1[[#This Row],[General index]])</f>
        <v>130.30000000000001</v>
      </c>
      <c r="P124" s="2">
        <f t="shared" si="30"/>
        <v>1144.4089743589743</v>
      </c>
      <c r="R124" s="10">
        <f t="shared" si="21"/>
        <v>11.586094714660685</v>
      </c>
      <c r="S124" s="10">
        <f t="shared" si="22"/>
        <v>11.883863465521896</v>
      </c>
      <c r="T124" s="10">
        <f t="shared" si="23"/>
        <v>11.688711786063573</v>
      </c>
      <c r="U124" s="10">
        <f t="shared" si="24"/>
        <v>11.132383864025659</v>
      </c>
      <c r="V124" s="10">
        <f t="shared" si="25"/>
        <v>11.110538526772862</v>
      </c>
      <c r="W124" s="10">
        <f t="shared" si="26"/>
        <v>10.057593271188017</v>
      </c>
      <c r="X124" s="10">
        <f t="shared" si="27"/>
        <v>10.800334737783135</v>
      </c>
      <c r="Y124" s="10">
        <f t="shared" si="28"/>
        <v>11.280932157344683</v>
      </c>
      <c r="Z124" s="10">
        <f t="shared" si="29"/>
        <v>10.459547476639493</v>
      </c>
    </row>
    <row r="125" spans="1:26" hidden="1" x14ac:dyDescent="0.3">
      <c r="A125" s="5" t="s">
        <v>32</v>
      </c>
      <c r="B125" s="5">
        <v>2016</v>
      </c>
      <c r="C125" s="5" t="s">
        <v>40</v>
      </c>
      <c r="D125" s="21">
        <f t="shared" si="20"/>
        <v>42491</v>
      </c>
      <c r="E125" s="4">
        <f>AVERAGE(All_India_Index_Upto_April23__1___1[[#This Row],[Cereals and products]:[Food and beverages]])</f>
        <v>134.36923076923074</v>
      </c>
      <c r="F125" s="5">
        <f>AVERAGE(All_India_Index_Upto_April23__1___1[[#This Row],[Pan, tobacco and intoxicants]])</f>
        <v>142.19999999999999</v>
      </c>
      <c r="G125" s="4">
        <f>AVERAGE(All_India_Index_Upto_April23__1___1[[#This Row],[Clothing]:[Clothing and footwear]])</f>
        <v>124.7</v>
      </c>
      <c r="H125" s="5">
        <f>AVERAGE(All_India_Index_Upto_April23__1___1[[#This Row],[Housing]:[Fuel and light]])</f>
        <v>115</v>
      </c>
      <c r="I125" s="5">
        <f>AVERAGE(All_India_Index_Upto_April23__1___1[[#This Row],[Household goods and services]:[Health]])</f>
        <v>121.75</v>
      </c>
      <c r="J125" s="5">
        <f>AVERAGE(All_India_Index_Upto_April23__1___1[[#This Row],[Transport and communication]])</f>
        <v>110.7</v>
      </c>
      <c r="K125" s="5">
        <f>AVERAGE(All_India_Index_Upto_April23__1___1[[#This Row],[Recreation and amusement]])</f>
        <v>119.8</v>
      </c>
      <c r="L125" s="5">
        <f>AVERAGE(All_India_Index_Upto_April23__1___1[[#This Row],[Education]])</f>
        <v>128</v>
      </c>
      <c r="M125" s="5">
        <f>AVERAGE(All_India_Index_Upto_April23__1___1[[#This Row],[Personal care and effects]])</f>
        <v>118.5</v>
      </c>
      <c r="N125" s="5">
        <f>AVERAGE(All_India_Index_Upto_April23__1___1[[#This Row],[Miscellaneous]])</f>
        <v>118.7</v>
      </c>
      <c r="O125" s="5">
        <f>AVERAGE(All_India_Index_Upto_April23__1___1[[#This Row],[General index]])</f>
        <v>126.6</v>
      </c>
      <c r="P125" s="2">
        <f t="shared" si="30"/>
        <v>1115.0192307692307</v>
      </c>
      <c r="R125" s="10">
        <f t="shared" si="21"/>
        <v>12.050844242079298</v>
      </c>
      <c r="S125" s="10">
        <f t="shared" si="22"/>
        <v>12.753143271071558</v>
      </c>
      <c r="T125" s="10">
        <f t="shared" si="23"/>
        <v>11.1836636139425</v>
      </c>
      <c r="U125" s="10">
        <f t="shared" si="24"/>
        <v>10.31372346113382</v>
      </c>
      <c r="V125" s="10">
        <f t="shared" si="25"/>
        <v>10.919094186026458</v>
      </c>
      <c r="W125" s="10">
        <f t="shared" si="26"/>
        <v>9.9280798882392514</v>
      </c>
      <c r="X125" s="10">
        <f t="shared" si="27"/>
        <v>10.744209309946362</v>
      </c>
      <c r="Y125" s="10">
        <f t="shared" si="28"/>
        <v>11.479622635001121</v>
      </c>
      <c r="Z125" s="10">
        <f t="shared" si="29"/>
        <v>10.627619392559632</v>
      </c>
    </row>
    <row r="126" spans="1:26" hidden="1" x14ac:dyDescent="0.3">
      <c r="A126" s="6" t="s">
        <v>34</v>
      </c>
      <c r="B126" s="6">
        <v>2016</v>
      </c>
      <c r="C126" s="6" t="s">
        <v>40</v>
      </c>
      <c r="D126" s="21">
        <f t="shared" si="20"/>
        <v>42491</v>
      </c>
      <c r="E126" s="4">
        <f>AVERAGE(All_India_Index_Upto_April23__1___1[[#This Row],[Cereals and products]:[Food and beverages]])</f>
        <v>133.1076923076923</v>
      </c>
      <c r="F126" s="5">
        <f>AVERAGE(All_India_Index_Upto_April23__1___1[[#This Row],[Pan, tobacco and intoxicants]])</f>
        <v>137.69999999999999</v>
      </c>
      <c r="G126" s="4">
        <f>AVERAGE(All_India_Index_Upto_April23__1___1[[#This Row],[Clothing]:[Clothing and footwear]])</f>
        <v>130.13333333333333</v>
      </c>
      <c r="H126" s="5">
        <f>AVERAGE(All_India_Index_Upto_April23__1___1[[#This Row],[Housing]:[Fuel and light]])</f>
        <v>122.7</v>
      </c>
      <c r="I126" s="5">
        <f>AVERAGE(All_India_Index_Upto_April23__1___1[[#This Row],[Household goods and services]:[Health]])</f>
        <v>124.85</v>
      </c>
      <c r="J126" s="5">
        <f>AVERAGE(All_India_Index_Upto_April23__1___1[[#This Row],[Transport and communication]])</f>
        <v>112.8</v>
      </c>
      <c r="K126" s="5">
        <f>AVERAGE(All_India_Index_Upto_April23__1___1[[#This Row],[Recreation and amusement]])</f>
        <v>121.5</v>
      </c>
      <c r="L126" s="5">
        <f>AVERAGE(All_India_Index_Upto_April23__1___1[[#This Row],[Education]])</f>
        <v>128.5</v>
      </c>
      <c r="M126" s="5">
        <f>AVERAGE(All_India_Index_Upto_April23__1___1[[#This Row],[Personal care and effects]])</f>
        <v>119.2</v>
      </c>
      <c r="N126" s="5">
        <f>AVERAGE(All_India_Index_Upto_April23__1___1[[#This Row],[Miscellaneous]])</f>
        <v>120.7</v>
      </c>
      <c r="O126" s="5">
        <f>AVERAGE(All_India_Index_Upto_April23__1___1[[#This Row],[General index]])</f>
        <v>128.6</v>
      </c>
      <c r="P126" s="2">
        <f>AVERAGE(E126:N126)</f>
        <v>125.11910256410256</v>
      </c>
      <c r="R126" s="10">
        <f t="shared" si="21"/>
        <v>106.38478823766893</v>
      </c>
      <c r="S126" s="10">
        <f t="shared" si="22"/>
        <v>110.0551372077272</v>
      </c>
      <c r="T126" s="10">
        <f t="shared" si="23"/>
        <v>104.00756612417501</v>
      </c>
      <c r="U126" s="10">
        <f t="shared" si="24"/>
        <v>98.066560169848429</v>
      </c>
      <c r="V126" s="10">
        <f t="shared" si="25"/>
        <v>99.784922878611042</v>
      </c>
      <c r="W126" s="10">
        <f t="shared" si="26"/>
        <v>90.154099324848431</v>
      </c>
      <c r="X126" s="10">
        <f t="shared" si="27"/>
        <v>97.107474006818123</v>
      </c>
      <c r="Y126" s="10">
        <f t="shared" si="28"/>
        <v>102.70214329116155</v>
      </c>
      <c r="Z126" s="10">
        <f t="shared" si="29"/>
        <v>95.26922552767671</v>
      </c>
    </row>
    <row r="127" spans="1:26" hidden="1" x14ac:dyDescent="0.3">
      <c r="A127" s="5" t="s">
        <v>30</v>
      </c>
      <c r="B127" s="5">
        <v>2016</v>
      </c>
      <c r="C127" s="5" t="s">
        <v>41</v>
      </c>
      <c r="D127" s="21">
        <f t="shared" si="20"/>
        <v>42522</v>
      </c>
      <c r="E127" s="4">
        <f>AVERAGE(All_India_Index_Upto_April23__1___1[[#This Row],[Cereals and products]:[Food and beverages]])</f>
        <v>134.50769230769231</v>
      </c>
      <c r="F127" s="5">
        <f>AVERAGE(All_India_Index_Upto_April23__1___1[[#This Row],[Pan, tobacco and intoxicants]])</f>
        <v>137.19999999999999</v>
      </c>
      <c r="G127" s="4">
        <f>AVERAGE(All_India_Index_Upto_April23__1___1[[#This Row],[Clothing]:[Clothing and footwear]])</f>
        <v>134.5</v>
      </c>
      <c r="H127" s="5">
        <f>AVERAGE(All_India_Index_Upto_April23__1___1[[#This Row],[Housing]:[Fuel and light]])</f>
        <v>128</v>
      </c>
      <c r="I127" s="5">
        <f>AVERAGE(All_India_Index_Upto_April23__1___1[[#This Row],[Household goods and services]:[Health]])</f>
        <v>127.75</v>
      </c>
      <c r="J127" s="5">
        <f>AVERAGE(All_India_Index_Upto_April23__1___1[[#This Row],[Transport and communication]])</f>
        <v>116.3</v>
      </c>
      <c r="K127" s="5">
        <f>AVERAGE(All_India_Index_Upto_April23__1___1[[#This Row],[Recreation and amusement]])</f>
        <v>124.1</v>
      </c>
      <c r="L127" s="5">
        <f>AVERAGE(All_India_Index_Upto_April23__1___1[[#This Row],[Education]])</f>
        <v>130.19999999999999</v>
      </c>
      <c r="M127" s="5">
        <f>AVERAGE(All_India_Index_Upto_April23__1___1[[#This Row],[Personal care and effects]])</f>
        <v>119.9</v>
      </c>
      <c r="N127" s="5">
        <f>AVERAGE(All_India_Index_Upto_April23__1___1[[#This Row],[Miscellaneous]])</f>
        <v>123.3</v>
      </c>
      <c r="O127" s="5">
        <f>AVERAGE(All_India_Index_Upto_April23__1___1[[#This Row],[General index]])</f>
        <v>131.9</v>
      </c>
      <c r="P127" s="2">
        <f t="shared" si="30"/>
        <v>1152.4576923076922</v>
      </c>
      <c r="R127" s="10">
        <f t="shared" si="21"/>
        <v>11.671377891395981</v>
      </c>
      <c r="S127" s="10">
        <f t="shared" si="22"/>
        <v>11.904992340783409</v>
      </c>
      <c r="T127" s="10">
        <f t="shared" si="23"/>
        <v>11.670710421540589</v>
      </c>
      <c r="U127" s="10">
        <f t="shared" si="24"/>
        <v>11.106698393733794</v>
      </c>
      <c r="V127" s="10">
        <f t="shared" si="25"/>
        <v>11.085005623433531</v>
      </c>
      <c r="W127" s="10">
        <f t="shared" si="26"/>
        <v>10.091476743681564</v>
      </c>
      <c r="X127" s="10">
        <f t="shared" si="27"/>
        <v>10.768291177049717</v>
      </c>
      <c r="Y127" s="10">
        <f t="shared" si="28"/>
        <v>11.297594772376092</v>
      </c>
      <c r="Z127" s="10">
        <f t="shared" si="29"/>
        <v>10.403852636005327</v>
      </c>
    </row>
    <row r="128" spans="1:26" hidden="1" x14ac:dyDescent="0.3">
      <c r="A128" s="6" t="s">
        <v>32</v>
      </c>
      <c r="B128" s="6">
        <v>2016</v>
      </c>
      <c r="C128" s="6" t="s">
        <v>41</v>
      </c>
      <c r="D128" s="21">
        <f t="shared" si="20"/>
        <v>42522</v>
      </c>
      <c r="E128" s="4">
        <f>AVERAGE(All_India_Index_Upto_April23__1___1[[#This Row],[Cereals and products]:[Food and beverages]])</f>
        <v>137.46153846153848</v>
      </c>
      <c r="F128" s="5">
        <f>AVERAGE(All_India_Index_Upto_April23__1___1[[#This Row],[Pan, tobacco and intoxicants]])</f>
        <v>142.69999999999999</v>
      </c>
      <c r="G128" s="4">
        <f>AVERAGE(All_India_Index_Upto_April23__1___1[[#This Row],[Clothing]:[Clothing and footwear]])</f>
        <v>125.09999999999998</v>
      </c>
      <c r="H128" s="5">
        <f>AVERAGE(All_India_Index_Upto_April23__1___1[[#This Row],[Housing]:[Fuel and light]])</f>
        <v>115.5</v>
      </c>
      <c r="I128" s="5">
        <f>AVERAGE(All_India_Index_Upto_April23__1___1[[#This Row],[Household goods and services]:[Health]])</f>
        <v>121.9</v>
      </c>
      <c r="J128" s="5">
        <f>AVERAGE(All_India_Index_Upto_April23__1___1[[#This Row],[Transport and communication]])</f>
        <v>112.3</v>
      </c>
      <c r="K128" s="5">
        <f>AVERAGE(All_India_Index_Upto_April23__1___1[[#This Row],[Recreation and amusement]])</f>
        <v>119.9</v>
      </c>
      <c r="L128" s="5">
        <f>AVERAGE(All_India_Index_Upto_April23__1___1[[#This Row],[Education]])</f>
        <v>129.30000000000001</v>
      </c>
      <c r="M128" s="5">
        <f>AVERAGE(All_India_Index_Upto_April23__1___1[[#This Row],[Personal care and effects]])</f>
        <v>118.8</v>
      </c>
      <c r="N128" s="5">
        <f>AVERAGE(All_India_Index_Upto_April23__1___1[[#This Row],[Miscellaneous]])</f>
        <v>119.6</v>
      </c>
      <c r="O128" s="5">
        <f>AVERAGE(All_India_Index_Upto_April23__1___1[[#This Row],[General index]])</f>
        <v>128.1</v>
      </c>
      <c r="P128" s="2">
        <f t="shared" si="30"/>
        <v>1122.9615384615383</v>
      </c>
      <c r="R128" s="10">
        <f t="shared" si="21"/>
        <v>12.240983662705075</v>
      </c>
      <c r="S128" s="10">
        <f t="shared" si="22"/>
        <v>12.707469945542352</v>
      </c>
      <c r="T128" s="10">
        <f t="shared" si="23"/>
        <v>11.140185635510496</v>
      </c>
      <c r="U128" s="10">
        <f t="shared" si="24"/>
        <v>10.285303284584034</v>
      </c>
      <c r="V128" s="10">
        <f t="shared" si="25"/>
        <v>10.855224851868345</v>
      </c>
      <c r="W128" s="10">
        <f t="shared" si="26"/>
        <v>10.000342500941878</v>
      </c>
      <c r="X128" s="10">
        <f t="shared" si="27"/>
        <v>10.677124362091996</v>
      </c>
      <c r="Y128" s="10">
        <f t="shared" si="28"/>
        <v>11.514196664040828</v>
      </c>
      <c r="Z128" s="10">
        <f t="shared" si="29"/>
        <v>10.579169092715006</v>
      </c>
    </row>
    <row r="129" spans="1:26" hidden="1" x14ac:dyDescent="0.3">
      <c r="A129" s="5" t="s">
        <v>34</v>
      </c>
      <c r="B129" s="5">
        <v>2016</v>
      </c>
      <c r="C129" s="5" t="s">
        <v>41</v>
      </c>
      <c r="D129" s="21">
        <f t="shared" si="20"/>
        <v>42522</v>
      </c>
      <c r="E129" s="4">
        <f>AVERAGE(All_India_Index_Upto_April23__1___1[[#This Row],[Cereals and products]:[Food and beverages]])</f>
        <v>135.43076923076922</v>
      </c>
      <c r="F129" s="5">
        <f>AVERAGE(All_India_Index_Upto_April23__1___1[[#This Row],[Pan, tobacco and intoxicants]])</f>
        <v>138.69999999999999</v>
      </c>
      <c r="G129" s="4">
        <f>AVERAGE(All_India_Index_Upto_April23__1___1[[#This Row],[Clothing]:[Clothing and footwear]])</f>
        <v>130.70000000000002</v>
      </c>
      <c r="H129" s="5">
        <f>AVERAGE(All_India_Index_Upto_April23__1___1[[#This Row],[Housing]:[Fuel and light]])</f>
        <v>123.3</v>
      </c>
      <c r="I129" s="5">
        <f>AVERAGE(All_India_Index_Upto_April23__1___1[[#This Row],[Household goods and services]:[Health]])</f>
        <v>125.25</v>
      </c>
      <c r="J129" s="5">
        <f>AVERAGE(All_India_Index_Upto_April23__1___1[[#This Row],[Transport and communication]])</f>
        <v>114.2</v>
      </c>
      <c r="K129" s="5">
        <f>AVERAGE(All_India_Index_Upto_April23__1___1[[#This Row],[Recreation and amusement]])</f>
        <v>121.7</v>
      </c>
      <c r="L129" s="5">
        <f>AVERAGE(All_India_Index_Upto_April23__1___1[[#This Row],[Education]])</f>
        <v>129.69999999999999</v>
      </c>
      <c r="M129" s="5">
        <f>AVERAGE(All_India_Index_Upto_April23__1___1[[#This Row],[Personal care and effects]])</f>
        <v>119.4</v>
      </c>
      <c r="N129" s="5">
        <f>AVERAGE(All_India_Index_Upto_April23__1___1[[#This Row],[Miscellaneous]])</f>
        <v>121.5</v>
      </c>
      <c r="O129" s="5">
        <f>AVERAGE(All_India_Index_Upto_April23__1___1[[#This Row],[General index]])</f>
        <v>130.1</v>
      </c>
      <c r="P129" s="2">
        <f>AVERAGE(E129:N129)</f>
        <v>125.98807692307693</v>
      </c>
      <c r="R129" s="10">
        <f t="shared" si="21"/>
        <v>107.49490946945528</v>
      </c>
      <c r="S129" s="10">
        <f t="shared" si="22"/>
        <v>110.08978261068658</v>
      </c>
      <c r="T129" s="10">
        <f t="shared" si="23"/>
        <v>103.73997539449704</v>
      </c>
      <c r="U129" s="10">
        <f t="shared" si="24"/>
        <v>97.866403719521671</v>
      </c>
      <c r="V129" s="10">
        <f t="shared" si="25"/>
        <v>99.414169228467884</v>
      </c>
      <c r="W129" s="10">
        <f t="shared" si="26"/>
        <v>90.643498011106047</v>
      </c>
      <c r="X129" s="10">
        <f t="shared" si="27"/>
        <v>96.596442276283767</v>
      </c>
      <c r="Y129" s="10">
        <f t="shared" si="28"/>
        <v>102.94624949247333</v>
      </c>
      <c r="Z129" s="10">
        <f t="shared" si="29"/>
        <v>94.770872701629273</v>
      </c>
    </row>
    <row r="130" spans="1:26" hidden="1" x14ac:dyDescent="0.3">
      <c r="A130" s="6" t="s">
        <v>30</v>
      </c>
      <c r="B130" s="6">
        <v>2016</v>
      </c>
      <c r="C130" s="6" t="s">
        <v>43</v>
      </c>
      <c r="D130" s="21">
        <f t="shared" si="20"/>
        <v>42552</v>
      </c>
      <c r="E130" s="4">
        <f>AVERAGE(All_India_Index_Upto_April23__1___1[[#This Row],[Cereals and products]:[Food and beverages]])</f>
        <v>136.17692307692306</v>
      </c>
      <c r="F130" s="5">
        <f>AVERAGE(All_India_Index_Upto_April23__1___1[[#This Row],[Pan, tobacco and intoxicants]])</f>
        <v>138</v>
      </c>
      <c r="G130" s="4">
        <f>AVERAGE(All_India_Index_Upto_April23__1___1[[#This Row],[Clothing]:[Clothing and footwear]])</f>
        <v>135.29999999999998</v>
      </c>
      <c r="H130" s="5">
        <f>AVERAGE(All_India_Index_Upto_April23__1___1[[#This Row],[Housing]:[Fuel and light]])</f>
        <v>128.19999999999999</v>
      </c>
      <c r="I130" s="5">
        <f>AVERAGE(All_India_Index_Upto_April23__1___1[[#This Row],[Household goods and services]:[Health]])</f>
        <v>128.35</v>
      </c>
      <c r="J130" s="5">
        <f>AVERAGE(All_India_Index_Upto_April23__1___1[[#This Row],[Transport and communication]])</f>
        <v>116.4</v>
      </c>
      <c r="K130" s="5">
        <f>AVERAGE(All_India_Index_Upto_April23__1___1[[#This Row],[Recreation and amusement]])</f>
        <v>125.2</v>
      </c>
      <c r="L130" s="5">
        <f>AVERAGE(All_India_Index_Upto_April23__1___1[[#This Row],[Education]])</f>
        <v>130.80000000000001</v>
      </c>
      <c r="M130" s="5">
        <f>AVERAGE(All_India_Index_Upto_April23__1___1[[#This Row],[Personal care and effects]])</f>
        <v>120.9</v>
      </c>
      <c r="N130" s="5">
        <f>AVERAGE(All_India_Index_Upto_April23__1___1[[#This Row],[Miscellaneous]])</f>
        <v>123.8</v>
      </c>
      <c r="O130" s="5">
        <f>AVERAGE(All_India_Index_Upto_April23__1___1[[#This Row],[General index]])</f>
        <v>133</v>
      </c>
      <c r="P130" s="2">
        <f t="shared" si="30"/>
        <v>1159.3269230769231</v>
      </c>
      <c r="R130" s="10">
        <f t="shared" si="21"/>
        <v>11.746205523762129</v>
      </c>
      <c r="S130" s="10">
        <f t="shared" si="22"/>
        <v>11.903458571784025</v>
      </c>
      <c r="T130" s="10">
        <f t="shared" si="23"/>
        <v>11.670564817118684</v>
      </c>
      <c r="U130" s="10">
        <f t="shared" si="24"/>
        <v>11.058140499295014</v>
      </c>
      <c r="V130" s="10">
        <f t="shared" si="25"/>
        <v>11.071079041220868</v>
      </c>
      <c r="W130" s="10">
        <f t="shared" si="26"/>
        <v>10.040308534461309</v>
      </c>
      <c r="X130" s="10">
        <f t="shared" si="27"/>
        <v>10.799369660777971</v>
      </c>
      <c r="Y130" s="10">
        <f t="shared" si="28"/>
        <v>11.282408559343121</v>
      </c>
      <c r="Z130" s="10">
        <f t="shared" si="29"/>
        <v>10.428464792236875</v>
      </c>
    </row>
    <row r="131" spans="1:26" hidden="1" x14ac:dyDescent="0.3">
      <c r="A131" s="5" t="s">
        <v>32</v>
      </c>
      <c r="B131" s="5">
        <v>2016</v>
      </c>
      <c r="C131" s="5" t="s">
        <v>43</v>
      </c>
      <c r="D131" s="21">
        <f t="shared" si="20"/>
        <v>42552</v>
      </c>
      <c r="E131" s="4">
        <f>AVERAGE(All_India_Index_Upto_April23__1___1[[#This Row],[Cereals and products]:[Food and beverages]])</f>
        <v>139.34615384615387</v>
      </c>
      <c r="F131" s="5">
        <f>AVERAGE(All_India_Index_Upto_April23__1___1[[#This Row],[Pan, tobacco and intoxicants]])</f>
        <v>142.9</v>
      </c>
      <c r="G131" s="4">
        <f>AVERAGE(All_India_Index_Upto_April23__1___1[[#This Row],[Clothing]:[Clothing and footwear]])</f>
        <v>125.3</v>
      </c>
      <c r="H131" s="5">
        <f>AVERAGE(All_India_Index_Upto_April23__1___1[[#This Row],[Housing]:[Fuel and light]])</f>
        <v>115.5</v>
      </c>
      <c r="I131" s="5">
        <f>AVERAGE(All_India_Index_Upto_April23__1___1[[#This Row],[Household goods and services]:[Health]])</f>
        <v>122.2</v>
      </c>
      <c r="J131" s="5">
        <f>AVERAGE(All_India_Index_Upto_April23__1___1[[#This Row],[Transport and communication]])</f>
        <v>111.7</v>
      </c>
      <c r="K131" s="5">
        <f>AVERAGE(All_India_Index_Upto_April23__1___1[[#This Row],[Recreation and amusement]])</f>
        <v>120.3</v>
      </c>
      <c r="L131" s="5">
        <f>AVERAGE(All_India_Index_Upto_April23__1___1[[#This Row],[Education]])</f>
        <v>130.80000000000001</v>
      </c>
      <c r="M131" s="5">
        <f>AVERAGE(All_India_Index_Upto_April23__1___1[[#This Row],[Personal care and effects]])</f>
        <v>120</v>
      </c>
      <c r="N131" s="5">
        <f>AVERAGE(All_India_Index_Upto_April23__1___1[[#This Row],[Miscellaneous]])</f>
        <v>119.9</v>
      </c>
      <c r="O131" s="5">
        <f>AVERAGE(All_India_Index_Upto_April23__1___1[[#This Row],[General index]])</f>
        <v>129</v>
      </c>
      <c r="P131" s="2">
        <f t="shared" si="30"/>
        <v>1128.0461538461539</v>
      </c>
      <c r="R131" s="10">
        <f t="shared" si="21"/>
        <v>12.352876996304026</v>
      </c>
      <c r="S131" s="10">
        <f t="shared" si="22"/>
        <v>12.667921388922984</v>
      </c>
      <c r="T131" s="10">
        <f t="shared" si="23"/>
        <v>11.107701539762422</v>
      </c>
      <c r="U131" s="10">
        <f t="shared" si="24"/>
        <v>10.238942760116199</v>
      </c>
      <c r="V131" s="10">
        <f t="shared" si="25"/>
        <v>10.832890089058003</v>
      </c>
      <c r="W131" s="10">
        <f t="shared" si="26"/>
        <v>9.9020771108656209</v>
      </c>
      <c r="X131" s="10">
        <f t="shared" si="27"/>
        <v>10.664457264432716</v>
      </c>
      <c r="Y131" s="10">
        <f t="shared" si="28"/>
        <v>11.595270242625098</v>
      </c>
      <c r="Z131" s="10">
        <f t="shared" si="29"/>
        <v>10.637862607912933</v>
      </c>
    </row>
    <row r="132" spans="1:26" hidden="1" x14ac:dyDescent="0.3">
      <c r="A132" s="6" t="s">
        <v>34</v>
      </c>
      <c r="B132" s="6">
        <v>2016</v>
      </c>
      <c r="C132" s="6" t="s">
        <v>43</v>
      </c>
      <c r="D132" s="21">
        <f t="shared" si="20"/>
        <v>42552</v>
      </c>
      <c r="E132" s="4">
        <f>AVERAGE(All_India_Index_Upto_April23__1___1[[#This Row],[Cereals and products]:[Food and beverages]])</f>
        <v>137.19230769230768</v>
      </c>
      <c r="F132" s="5">
        <f>AVERAGE(All_India_Index_Upto_April23__1___1[[#This Row],[Pan, tobacco and intoxicants]])</f>
        <v>139.30000000000001</v>
      </c>
      <c r="G132" s="4">
        <f>AVERAGE(All_India_Index_Upto_April23__1___1[[#This Row],[Clothing]:[Clothing and footwear]])</f>
        <v>131.26666666666668</v>
      </c>
      <c r="H132" s="5">
        <f>AVERAGE(All_India_Index_Upto_April23__1___1[[#This Row],[Housing]:[Fuel and light]])</f>
        <v>123.4</v>
      </c>
      <c r="I132" s="5">
        <f>AVERAGE(All_India_Index_Upto_April23__1___1[[#This Row],[Household goods and services]:[Health]])</f>
        <v>125.7</v>
      </c>
      <c r="J132" s="5">
        <f>AVERAGE(All_India_Index_Upto_April23__1___1[[#This Row],[Transport and communication]])</f>
        <v>113.9</v>
      </c>
      <c r="K132" s="5">
        <f>AVERAGE(All_India_Index_Upto_April23__1___1[[#This Row],[Recreation and amusement]])</f>
        <v>122.4</v>
      </c>
      <c r="L132" s="5">
        <f>AVERAGE(All_India_Index_Upto_April23__1___1[[#This Row],[Education]])</f>
        <v>130.80000000000001</v>
      </c>
      <c r="M132" s="5">
        <f>AVERAGE(All_India_Index_Upto_April23__1___1[[#This Row],[Personal care and effects]])</f>
        <v>120.5</v>
      </c>
      <c r="N132" s="5">
        <f>AVERAGE(All_India_Index_Upto_April23__1___1[[#This Row],[Miscellaneous]])</f>
        <v>121.9</v>
      </c>
      <c r="O132" s="5">
        <f>AVERAGE(All_India_Index_Upto_April23__1___1[[#This Row],[General index]])</f>
        <v>131.1</v>
      </c>
      <c r="P132" s="2">
        <f>AVERAGE(E132:N132)</f>
        <v>126.63589743589743</v>
      </c>
      <c r="R132" s="10">
        <f t="shared" si="21"/>
        <v>108.33603304446424</v>
      </c>
      <c r="S132" s="10">
        <f t="shared" si="22"/>
        <v>110.00040495666966</v>
      </c>
      <c r="T132" s="10">
        <f t="shared" si="23"/>
        <v>103.65675872681624</v>
      </c>
      <c r="U132" s="10">
        <f t="shared" si="24"/>
        <v>97.444723414594648</v>
      </c>
      <c r="V132" s="10">
        <f t="shared" si="25"/>
        <v>99.260954077913667</v>
      </c>
      <c r="W132" s="10">
        <f t="shared" si="26"/>
        <v>89.942901109581285</v>
      </c>
      <c r="X132" s="10">
        <f t="shared" si="27"/>
        <v>96.655057908803769</v>
      </c>
      <c r="Y132" s="10">
        <f t="shared" si="28"/>
        <v>103.28824815744717</v>
      </c>
      <c r="Z132" s="10">
        <f t="shared" si="29"/>
        <v>95.15469344780108</v>
      </c>
    </row>
    <row r="133" spans="1:26" hidden="1" x14ac:dyDescent="0.3">
      <c r="A133" s="5" t="s">
        <v>30</v>
      </c>
      <c r="B133" s="5">
        <v>2016</v>
      </c>
      <c r="C133" s="5" t="s">
        <v>45</v>
      </c>
      <c r="D133" s="21">
        <f t="shared" ref="D133:D196" si="31">DATE(B133,MONTH(1&amp;C133),1)</f>
        <v>42583</v>
      </c>
      <c r="E133" s="4">
        <f>AVERAGE(All_India_Index_Upto_April23__1___1[[#This Row],[Cereals and products]:[Food and beverages]])</f>
        <v>136.73076923076923</v>
      </c>
      <c r="F133" s="5">
        <f>AVERAGE(All_India_Index_Upto_April23__1___1[[#This Row],[Pan, tobacco and intoxicants]])</f>
        <v>138.9</v>
      </c>
      <c r="G133" s="4">
        <f>AVERAGE(All_India_Index_Upto_April23__1___1[[#This Row],[Clothing]:[Clothing and footwear]])</f>
        <v>135.96666666666667</v>
      </c>
      <c r="H133" s="5">
        <f>AVERAGE(All_India_Index_Upto_April23__1___1[[#This Row],[Housing]:[Fuel and light]])</f>
        <v>129.1</v>
      </c>
      <c r="I133" s="5">
        <f>AVERAGE(All_India_Index_Upto_April23__1___1[[#This Row],[Household goods and services]:[Health]])</f>
        <v>128.80000000000001</v>
      </c>
      <c r="J133" s="5">
        <f>AVERAGE(All_India_Index_Upto_April23__1___1[[#This Row],[Transport and communication]])</f>
        <v>116</v>
      </c>
      <c r="K133" s="5">
        <f>AVERAGE(All_India_Index_Upto_April23__1___1[[#This Row],[Recreation and amusement]])</f>
        <v>125.5</v>
      </c>
      <c r="L133" s="5">
        <f>AVERAGE(All_India_Index_Upto_April23__1___1[[#This Row],[Education]])</f>
        <v>131.9</v>
      </c>
      <c r="M133" s="5">
        <f>AVERAGE(All_India_Index_Upto_April23__1___1[[#This Row],[Personal care and effects]])</f>
        <v>122</v>
      </c>
      <c r="N133" s="5">
        <f>AVERAGE(All_India_Index_Upto_April23__1___1[[#This Row],[Miscellaneous]])</f>
        <v>124.2</v>
      </c>
      <c r="O133" s="5">
        <f>AVERAGE(All_India_Index_Upto_April23__1___1[[#This Row],[General index]])</f>
        <v>133.5</v>
      </c>
      <c r="P133" s="2">
        <f t="shared" ref="P133:P196" si="32">SUM(E133:M133)</f>
        <v>1164.897435897436</v>
      </c>
      <c r="R133" s="10">
        <f t="shared" ref="R133:R196" si="33">E133/P133*100</f>
        <v>11.737580066474433</v>
      </c>
      <c r="S133" s="10">
        <f t="shared" ref="S133:S196" si="34">F133/P133*100</f>
        <v>11.923796526600778</v>
      </c>
      <c r="T133" s="10">
        <f t="shared" ref="T133:T196" si="35">G133/P133*100</f>
        <v>11.671986088793993</v>
      </c>
      <c r="U133" s="10">
        <f t="shared" ref="U133:U196" si="36">H133/P133*100</f>
        <v>11.082520745746296</v>
      </c>
      <c r="V133" s="10">
        <f t="shared" ref="V133:V196" si="37">I133/P133*100</f>
        <v>11.056767405516057</v>
      </c>
      <c r="W133" s="10">
        <f t="shared" ref="W133:W196" si="38">J133/P133*100</f>
        <v>9.9579582223591814</v>
      </c>
      <c r="X133" s="10">
        <f t="shared" ref="X133:X196" si="39">K133/P133*100</f>
        <v>10.773480662983424</v>
      </c>
      <c r="Y133" s="10">
        <f t="shared" ref="Y133:Y196" si="40">L133/P133*100</f>
        <v>11.322885254561863</v>
      </c>
      <c r="Z133" s="10">
        <f t="shared" ref="Z133:Z196" si="41">M133/P133*100</f>
        <v>10.473025026963967</v>
      </c>
    </row>
    <row r="134" spans="1:26" hidden="1" x14ac:dyDescent="0.3">
      <c r="A134" s="6" t="s">
        <v>32</v>
      </c>
      <c r="B134" s="6">
        <v>2016</v>
      </c>
      <c r="C134" s="6" t="s">
        <v>45</v>
      </c>
      <c r="D134" s="21">
        <f t="shared" si="31"/>
        <v>42583</v>
      </c>
      <c r="E134" s="4">
        <f>AVERAGE(All_India_Index_Upto_April23__1___1[[#This Row],[Cereals and products]:[Food and beverages]])</f>
        <v>137.2307692307692</v>
      </c>
      <c r="F134" s="5">
        <f>AVERAGE(All_India_Index_Upto_April23__1___1[[#This Row],[Pan, tobacco and intoxicants]])</f>
        <v>143.6</v>
      </c>
      <c r="G134" s="4">
        <f>AVERAGE(All_India_Index_Upto_April23__1___1[[#This Row],[Clothing]:[Clothing and footwear]])</f>
        <v>125.66666666666667</v>
      </c>
      <c r="H134" s="5">
        <f>AVERAGE(All_India_Index_Upto_April23__1___1[[#This Row],[Housing]:[Fuel and light]])</f>
        <v>114.7</v>
      </c>
      <c r="I134" s="5">
        <f>AVERAGE(All_India_Index_Upto_April23__1___1[[#This Row],[Household goods and services]:[Health]])</f>
        <v>122.55000000000001</v>
      </c>
      <c r="J134" s="5">
        <f>AVERAGE(All_India_Index_Upto_April23__1___1[[#This Row],[Transport and communication]])</f>
        <v>110.4</v>
      </c>
      <c r="K134" s="5">
        <f>AVERAGE(All_India_Index_Upto_April23__1___1[[#This Row],[Recreation and amusement]])</f>
        <v>120.6</v>
      </c>
      <c r="L134" s="5">
        <f>AVERAGE(All_India_Index_Upto_April23__1___1[[#This Row],[Education]])</f>
        <v>131.5</v>
      </c>
      <c r="M134" s="5">
        <f>AVERAGE(All_India_Index_Upto_April23__1___1[[#This Row],[Personal care and effects]])</f>
        <v>120.9</v>
      </c>
      <c r="N134" s="5">
        <f>AVERAGE(All_India_Index_Upto_April23__1___1[[#This Row],[Miscellaneous]])</f>
        <v>119.9</v>
      </c>
      <c r="O134" s="5">
        <f>AVERAGE(All_India_Index_Upto_April23__1___1[[#This Row],[General index]])</f>
        <v>128.4</v>
      </c>
      <c r="P134" s="2">
        <f t="shared" si="32"/>
        <v>1127.147435897436</v>
      </c>
      <c r="R134" s="10">
        <f t="shared" si="33"/>
        <v>12.175050473455224</v>
      </c>
      <c r="S134" s="10">
        <f t="shared" si="34"/>
        <v>12.740125686012451</v>
      </c>
      <c r="T134" s="10">
        <f t="shared" si="35"/>
        <v>11.149088634230955</v>
      </c>
      <c r="U134" s="10">
        <f t="shared" si="36"/>
        <v>10.176131031933346</v>
      </c>
      <c r="V134" s="10">
        <f t="shared" si="37"/>
        <v>10.872579406830267</v>
      </c>
      <c r="W134" s="10">
        <f t="shared" si="38"/>
        <v>9.7946370176585997</v>
      </c>
      <c r="X134" s="10">
        <f t="shared" si="39"/>
        <v>10.699576307333578</v>
      </c>
      <c r="Y134" s="10">
        <f t="shared" si="40"/>
        <v>11.666619273750959</v>
      </c>
      <c r="Z134" s="10">
        <f t="shared" si="41"/>
        <v>10.726192168794608</v>
      </c>
    </row>
    <row r="135" spans="1:26" hidden="1" x14ac:dyDescent="0.3">
      <c r="A135" s="5" t="s">
        <v>34</v>
      </c>
      <c r="B135" s="5">
        <v>2016</v>
      </c>
      <c r="C135" s="5" t="s">
        <v>45</v>
      </c>
      <c r="D135" s="21">
        <f t="shared" si="31"/>
        <v>42583</v>
      </c>
      <c r="E135" s="4">
        <f>AVERAGE(All_India_Index_Upto_April23__1___1[[#This Row],[Cereals and products]:[Food and beverages]])</f>
        <v>136.76153846153846</v>
      </c>
      <c r="F135" s="5">
        <f>AVERAGE(All_India_Index_Upto_April23__1___1[[#This Row],[Pan, tobacco and intoxicants]])</f>
        <v>140.19999999999999</v>
      </c>
      <c r="G135" s="4">
        <f>AVERAGE(All_India_Index_Upto_April23__1___1[[#This Row],[Clothing]:[Clothing and footwear]])</f>
        <v>131.83333333333331</v>
      </c>
      <c r="H135" s="5">
        <f>AVERAGE(All_India_Index_Upto_April23__1___1[[#This Row],[Housing]:[Fuel and light]])</f>
        <v>123.6</v>
      </c>
      <c r="I135" s="5">
        <f>AVERAGE(All_India_Index_Upto_April23__1___1[[#This Row],[Household goods and services]:[Health]])</f>
        <v>126.1</v>
      </c>
      <c r="J135" s="5">
        <f>AVERAGE(All_India_Index_Upto_April23__1___1[[#This Row],[Transport and communication]])</f>
        <v>113.1</v>
      </c>
      <c r="K135" s="5">
        <f>AVERAGE(All_India_Index_Upto_April23__1___1[[#This Row],[Recreation and amusement]])</f>
        <v>122.7</v>
      </c>
      <c r="L135" s="5">
        <f>AVERAGE(All_India_Index_Upto_April23__1___1[[#This Row],[Education]])</f>
        <v>131.69999999999999</v>
      </c>
      <c r="M135" s="5">
        <f>AVERAGE(All_India_Index_Upto_April23__1___1[[#This Row],[Personal care and effects]])</f>
        <v>121.5</v>
      </c>
      <c r="N135" s="5">
        <f>AVERAGE(All_India_Index_Upto_April23__1___1[[#This Row],[Miscellaneous]])</f>
        <v>122.1</v>
      </c>
      <c r="O135" s="5">
        <f>AVERAGE(All_India_Index_Upto_April23__1___1[[#This Row],[General index]])</f>
        <v>131.1</v>
      </c>
      <c r="P135" s="2">
        <f>AVERAGE(E135:N135)</f>
        <v>126.95948717948718</v>
      </c>
      <c r="R135" s="10">
        <f t="shared" si="33"/>
        <v>107.72061348057728</v>
      </c>
      <c r="S135" s="10">
        <f t="shared" si="34"/>
        <v>110.4289274591935</v>
      </c>
      <c r="T135" s="10">
        <f t="shared" si="35"/>
        <v>103.83889874015937</v>
      </c>
      <c r="U135" s="10">
        <f t="shared" si="36"/>
        <v>97.35389039911783</v>
      </c>
      <c r="V135" s="10">
        <f t="shared" si="37"/>
        <v>99.323022486478621</v>
      </c>
      <c r="W135" s="10">
        <f t="shared" si="38"/>
        <v>89.083535632202469</v>
      </c>
      <c r="X135" s="10">
        <f t="shared" si="39"/>
        <v>96.645002847667939</v>
      </c>
      <c r="Y135" s="10">
        <f t="shared" si="40"/>
        <v>103.73387836216681</v>
      </c>
      <c r="Z135" s="10">
        <f t="shared" si="41"/>
        <v>95.699819445734761</v>
      </c>
    </row>
    <row r="136" spans="1:26" hidden="1" x14ac:dyDescent="0.3">
      <c r="A136" s="6" t="s">
        <v>30</v>
      </c>
      <c r="B136" s="6">
        <v>2016</v>
      </c>
      <c r="C136" s="6" t="s">
        <v>47</v>
      </c>
      <c r="D136" s="21">
        <f t="shared" si="31"/>
        <v>42614</v>
      </c>
      <c r="E136" s="4">
        <f>AVERAGE(All_India_Index_Upto_April23__1___1[[#This Row],[Cereals and products]:[Food and beverages]])</f>
        <v>136.2076923076923</v>
      </c>
      <c r="F136" s="5">
        <f>AVERAGE(All_India_Index_Upto_April23__1___1[[#This Row],[Pan, tobacco and intoxicants]])</f>
        <v>139.9</v>
      </c>
      <c r="G136" s="4">
        <f>AVERAGE(All_India_Index_Upto_April23__1___1[[#This Row],[Clothing]:[Clothing and footwear]])</f>
        <v>136.6</v>
      </c>
      <c r="H136" s="5">
        <f>AVERAGE(All_India_Index_Upto_April23__1___1[[#This Row],[Housing]:[Fuel and light]])</f>
        <v>129.69999999999999</v>
      </c>
      <c r="I136" s="5">
        <f>AVERAGE(All_India_Index_Upto_April23__1___1[[#This Row],[Household goods and services]:[Health]])</f>
        <v>129.44999999999999</v>
      </c>
      <c r="J136" s="5">
        <f>AVERAGE(All_India_Index_Upto_April23__1___1[[#This Row],[Transport and communication]])</f>
        <v>117</v>
      </c>
      <c r="K136" s="5">
        <f>AVERAGE(All_India_Index_Upto_April23__1___1[[#This Row],[Recreation and amusement]])</f>
        <v>125.7</v>
      </c>
      <c r="L136" s="5">
        <f>AVERAGE(All_India_Index_Upto_April23__1___1[[#This Row],[Education]])</f>
        <v>132.19999999999999</v>
      </c>
      <c r="M136" s="5">
        <f>AVERAGE(All_India_Index_Upto_April23__1___1[[#This Row],[Personal care and effects]])</f>
        <v>122.8</v>
      </c>
      <c r="N136" s="5">
        <f>AVERAGE(All_India_Index_Upto_April23__1___1[[#This Row],[Miscellaneous]])</f>
        <v>124.9</v>
      </c>
      <c r="O136" s="5">
        <f>AVERAGE(All_India_Index_Upto_April23__1___1[[#This Row],[General index]])</f>
        <v>133.4</v>
      </c>
      <c r="P136" s="2">
        <f t="shared" si="32"/>
        <v>1169.5576923076924</v>
      </c>
      <c r="R136" s="10">
        <f t="shared" si="33"/>
        <v>11.646085798378742</v>
      </c>
      <c r="S136" s="10">
        <f t="shared" si="34"/>
        <v>11.961787000345298</v>
      </c>
      <c r="T136" s="10">
        <f t="shared" si="35"/>
        <v>11.679629051087687</v>
      </c>
      <c r="U136" s="10">
        <f t="shared" si="36"/>
        <v>11.089662429912687</v>
      </c>
      <c r="V136" s="10">
        <f t="shared" si="37"/>
        <v>11.068286827696202</v>
      </c>
      <c r="W136" s="10">
        <f t="shared" si="38"/>
        <v>10.003781837315223</v>
      </c>
      <c r="X136" s="10">
        <f t="shared" si="39"/>
        <v>10.74765279444892</v>
      </c>
      <c r="Y136" s="10">
        <f t="shared" si="40"/>
        <v>11.303418452077542</v>
      </c>
      <c r="Z136" s="10">
        <f t="shared" si="41"/>
        <v>10.499695808737687</v>
      </c>
    </row>
    <row r="137" spans="1:26" hidden="1" x14ac:dyDescent="0.3">
      <c r="A137" s="5" t="s">
        <v>32</v>
      </c>
      <c r="B137" s="5">
        <v>2016</v>
      </c>
      <c r="C137" s="5" t="s">
        <v>47</v>
      </c>
      <c r="D137" s="21">
        <f t="shared" si="31"/>
        <v>42614</v>
      </c>
      <c r="E137" s="4">
        <f>AVERAGE(All_India_Index_Upto_April23__1___1[[#This Row],[Cereals and products]:[Food and beverages]])</f>
        <v>135.10769230769228</v>
      </c>
      <c r="F137" s="5">
        <f>AVERAGE(All_India_Index_Upto_April23__1___1[[#This Row],[Pan, tobacco and intoxicants]])</f>
        <v>143.9</v>
      </c>
      <c r="G137" s="4">
        <f>AVERAGE(All_India_Index_Upto_April23__1___1[[#This Row],[Clothing]:[Clothing and footwear]])</f>
        <v>126</v>
      </c>
      <c r="H137" s="5">
        <f>AVERAGE(All_India_Index_Upto_April23__1___1[[#This Row],[Housing]:[Fuel and light]])</f>
        <v>114.8</v>
      </c>
      <c r="I137" s="5">
        <f>AVERAGE(All_India_Index_Upto_April23__1___1[[#This Row],[Household goods and services]:[Health]])</f>
        <v>122.85</v>
      </c>
      <c r="J137" s="5">
        <f>AVERAGE(All_India_Index_Upto_April23__1___1[[#This Row],[Transport and communication]])</f>
        <v>111.8</v>
      </c>
      <c r="K137" s="5">
        <f>AVERAGE(All_India_Index_Upto_April23__1___1[[#This Row],[Recreation and amusement]])</f>
        <v>120.8</v>
      </c>
      <c r="L137" s="5">
        <f>AVERAGE(All_India_Index_Upto_April23__1___1[[#This Row],[Education]])</f>
        <v>131.6</v>
      </c>
      <c r="M137" s="5">
        <f>AVERAGE(All_India_Index_Upto_April23__1___1[[#This Row],[Personal care and effects]])</f>
        <v>121.2</v>
      </c>
      <c r="N137" s="5">
        <f>AVERAGE(All_India_Index_Upto_April23__1___1[[#This Row],[Miscellaneous]])</f>
        <v>120.5</v>
      </c>
      <c r="O137" s="5">
        <f>AVERAGE(All_India_Index_Upto_April23__1___1[[#This Row],[General index]])</f>
        <v>128</v>
      </c>
      <c r="P137" s="2">
        <f t="shared" si="32"/>
        <v>1128.0576923076922</v>
      </c>
      <c r="R137" s="10">
        <f t="shared" si="33"/>
        <v>11.977019724168498</v>
      </c>
      <c r="S137" s="10">
        <f t="shared" si="34"/>
        <v>12.756439762014358</v>
      </c>
      <c r="T137" s="10">
        <f t="shared" si="35"/>
        <v>11.169641487239812</v>
      </c>
      <c r="U137" s="10">
        <f t="shared" si="36"/>
        <v>10.176784466151828</v>
      </c>
      <c r="V137" s="10">
        <f t="shared" si="37"/>
        <v>10.890400450058815</v>
      </c>
      <c r="W137" s="10">
        <f t="shared" si="38"/>
        <v>9.9108406212175471</v>
      </c>
      <c r="X137" s="10">
        <f t="shared" si="39"/>
        <v>10.708672156020391</v>
      </c>
      <c r="Y137" s="10">
        <f t="shared" si="40"/>
        <v>11.666069997783802</v>
      </c>
      <c r="Z137" s="10">
        <f t="shared" si="41"/>
        <v>10.744131335344962</v>
      </c>
    </row>
    <row r="138" spans="1:26" hidden="1" x14ac:dyDescent="0.3">
      <c r="A138" s="6" t="s">
        <v>34</v>
      </c>
      <c r="B138" s="6">
        <v>2016</v>
      </c>
      <c r="C138" s="6" t="s">
        <v>47</v>
      </c>
      <c r="D138" s="21">
        <f t="shared" si="31"/>
        <v>42614</v>
      </c>
      <c r="E138" s="4">
        <f>AVERAGE(All_India_Index_Upto_April23__1___1[[#This Row],[Cereals and products]:[Food and beverages]])</f>
        <v>135.66923076923075</v>
      </c>
      <c r="F138" s="5">
        <f>AVERAGE(All_India_Index_Upto_April23__1___1[[#This Row],[Pan, tobacco and intoxicants]])</f>
        <v>141</v>
      </c>
      <c r="G138" s="4">
        <f>AVERAGE(All_India_Index_Upto_April23__1___1[[#This Row],[Clothing]:[Clothing and footwear]])</f>
        <v>132.33333333333334</v>
      </c>
      <c r="H138" s="5">
        <f>AVERAGE(All_India_Index_Upto_April23__1___1[[#This Row],[Housing]:[Fuel and light]])</f>
        <v>124.1</v>
      </c>
      <c r="I138" s="5">
        <f>AVERAGE(All_India_Index_Upto_April23__1___1[[#This Row],[Household goods and services]:[Health]])</f>
        <v>126.65</v>
      </c>
      <c r="J138" s="5">
        <f>AVERAGE(All_India_Index_Upto_April23__1___1[[#This Row],[Transport and communication]])</f>
        <v>114.3</v>
      </c>
      <c r="K138" s="5">
        <f>AVERAGE(All_India_Index_Upto_April23__1___1[[#This Row],[Recreation and amusement]])</f>
        <v>122.9</v>
      </c>
      <c r="L138" s="5">
        <f>AVERAGE(All_India_Index_Upto_April23__1___1[[#This Row],[Education]])</f>
        <v>131.80000000000001</v>
      </c>
      <c r="M138" s="5">
        <f>AVERAGE(All_India_Index_Upto_April23__1___1[[#This Row],[Personal care and effects]])</f>
        <v>122.1</v>
      </c>
      <c r="N138" s="5">
        <f>AVERAGE(All_India_Index_Upto_April23__1___1[[#This Row],[Miscellaneous]])</f>
        <v>122.8</v>
      </c>
      <c r="O138" s="5">
        <f>AVERAGE(All_India_Index_Upto_April23__1___1[[#This Row],[General index]])</f>
        <v>130.9</v>
      </c>
      <c r="P138" s="2">
        <f>AVERAGE(E138:N138)</f>
        <v>127.36525641025639</v>
      </c>
      <c r="R138" s="10">
        <f t="shared" si="33"/>
        <v>106.51981128371966</v>
      </c>
      <c r="S138" s="10">
        <f t="shared" si="34"/>
        <v>110.70522996147764</v>
      </c>
      <c r="T138" s="10">
        <f t="shared" si="35"/>
        <v>103.9006531789755</v>
      </c>
      <c r="U138" s="10">
        <f t="shared" si="36"/>
        <v>97.436305235598425</v>
      </c>
      <c r="V138" s="10">
        <f t="shared" si="37"/>
        <v>99.438421096603875</v>
      </c>
      <c r="W138" s="10">
        <f t="shared" si="38"/>
        <v>89.741899181538258</v>
      </c>
      <c r="X138" s="10">
        <f t="shared" si="39"/>
        <v>96.494133065713498</v>
      </c>
      <c r="Y138" s="10">
        <f t="shared" si="40"/>
        <v>103.48190999235997</v>
      </c>
      <c r="Z138" s="10">
        <f t="shared" si="41"/>
        <v>95.866018285790219</v>
      </c>
    </row>
    <row r="139" spans="1:26" hidden="1" x14ac:dyDescent="0.3">
      <c r="A139" s="5" t="s">
        <v>30</v>
      </c>
      <c r="B139" s="5">
        <v>2016</v>
      </c>
      <c r="C139" s="5" t="s">
        <v>49</v>
      </c>
      <c r="D139" s="21">
        <f t="shared" si="31"/>
        <v>42644</v>
      </c>
      <c r="E139" s="4">
        <f>AVERAGE(All_India_Index_Upto_April23__1___1[[#This Row],[Cereals and products]:[Food and beverages]])</f>
        <v>136.2923076923077</v>
      </c>
      <c r="F139" s="5">
        <f>AVERAGE(All_India_Index_Upto_April23__1___1[[#This Row],[Pan, tobacco and intoxicants]])</f>
        <v>140.9</v>
      </c>
      <c r="G139" s="4">
        <f>AVERAGE(All_India_Index_Upto_April23__1___1[[#This Row],[Clothing]:[Clothing and footwear]])</f>
        <v>137.56666666666666</v>
      </c>
      <c r="H139" s="5">
        <f>AVERAGE(All_India_Index_Upto_April23__1___1[[#This Row],[Housing]:[Fuel and light]])</f>
        <v>129.80000000000001</v>
      </c>
      <c r="I139" s="5">
        <f>AVERAGE(All_India_Index_Upto_April23__1___1[[#This Row],[Household goods and services]:[Health]])</f>
        <v>130.25</v>
      </c>
      <c r="J139" s="5">
        <f>AVERAGE(All_India_Index_Upto_April23__1___1[[#This Row],[Transport and communication]])</f>
        <v>117.8</v>
      </c>
      <c r="K139" s="5">
        <f>AVERAGE(All_India_Index_Upto_April23__1___1[[#This Row],[Recreation and amusement]])</f>
        <v>126.5</v>
      </c>
      <c r="L139" s="5">
        <f>AVERAGE(All_India_Index_Upto_April23__1___1[[#This Row],[Education]])</f>
        <v>133</v>
      </c>
      <c r="M139" s="5">
        <f>AVERAGE(All_India_Index_Upto_April23__1___1[[#This Row],[Personal care and effects]])</f>
        <v>123</v>
      </c>
      <c r="N139" s="5">
        <f>AVERAGE(All_India_Index_Upto_April23__1___1[[#This Row],[Miscellaneous]])</f>
        <v>125.7</v>
      </c>
      <c r="O139" s="5">
        <f>AVERAGE(All_India_Index_Upto_April23__1___1[[#This Row],[General index]])</f>
        <v>133.80000000000001</v>
      </c>
      <c r="P139" s="2">
        <f t="shared" si="32"/>
        <v>1175.1089743589744</v>
      </c>
      <c r="R139" s="10">
        <f t="shared" si="33"/>
        <v>11.598269664024615</v>
      </c>
      <c r="S139" s="10">
        <f t="shared" si="34"/>
        <v>11.990377324525276</v>
      </c>
      <c r="T139" s="10">
        <f t="shared" si="35"/>
        <v>11.706715689215947</v>
      </c>
      <c r="U139" s="10">
        <f t="shared" si="36"/>
        <v>11.045784078945216</v>
      </c>
      <c r="V139" s="10">
        <f t="shared" si="37"/>
        <v>11.084078399711975</v>
      </c>
      <c r="W139" s="10">
        <f t="shared" si="38"/>
        <v>10.024602191831637</v>
      </c>
      <c r="X139" s="10">
        <f t="shared" si="39"/>
        <v>10.76495905998898</v>
      </c>
      <c r="Y139" s="10">
        <f t="shared" si="40"/>
        <v>11.31809924884217</v>
      </c>
      <c r="Z139" s="10">
        <f t="shared" si="41"/>
        <v>10.467114342914186</v>
      </c>
    </row>
    <row r="140" spans="1:26" hidden="1" x14ac:dyDescent="0.3">
      <c r="A140" s="6" t="s">
        <v>32</v>
      </c>
      <c r="B140" s="6">
        <v>2016</v>
      </c>
      <c r="C140" s="6" t="s">
        <v>49</v>
      </c>
      <c r="D140" s="21">
        <f t="shared" si="31"/>
        <v>42644</v>
      </c>
      <c r="E140" s="4">
        <f>AVERAGE(All_India_Index_Upto_April23__1___1[[#This Row],[Cereals and products]:[Food and beverages]])</f>
        <v>135.6076923076923</v>
      </c>
      <c r="F140" s="5">
        <f>AVERAGE(All_India_Index_Upto_April23__1___1[[#This Row],[Pan, tobacco and intoxicants]])</f>
        <v>144.30000000000001</v>
      </c>
      <c r="G140" s="4">
        <f>AVERAGE(All_India_Index_Upto_April23__1___1[[#This Row],[Clothing]:[Clothing and footwear]])</f>
        <v>126.33333333333333</v>
      </c>
      <c r="H140" s="5">
        <f>AVERAGE(All_India_Index_Upto_April23__1___1[[#This Row],[Housing]:[Fuel and light]])</f>
        <v>115.2</v>
      </c>
      <c r="I140" s="5">
        <f>AVERAGE(All_India_Index_Upto_April23__1___1[[#This Row],[Household goods and services]:[Health]])</f>
        <v>123.15</v>
      </c>
      <c r="J140" s="5">
        <f>AVERAGE(All_India_Index_Upto_April23__1___1[[#This Row],[Transport and communication]])</f>
        <v>112.8</v>
      </c>
      <c r="K140" s="5">
        <f>AVERAGE(All_India_Index_Upto_April23__1___1[[#This Row],[Recreation and amusement]])</f>
        <v>121.2</v>
      </c>
      <c r="L140" s="5">
        <f>AVERAGE(All_India_Index_Upto_April23__1___1[[#This Row],[Education]])</f>
        <v>131.9</v>
      </c>
      <c r="M140" s="5">
        <f>AVERAGE(All_India_Index_Upto_April23__1___1[[#This Row],[Personal care and effects]])</f>
        <v>120.8</v>
      </c>
      <c r="N140" s="5">
        <f>AVERAGE(All_India_Index_Upto_April23__1___1[[#This Row],[Miscellaneous]])</f>
        <v>120.9</v>
      </c>
      <c r="O140" s="5">
        <f>AVERAGE(All_India_Index_Upto_April23__1___1[[#This Row],[General index]])</f>
        <v>128.6</v>
      </c>
      <c r="P140" s="2">
        <f t="shared" si="32"/>
        <v>1131.2910256410255</v>
      </c>
      <c r="R140" s="10">
        <f t="shared" si="33"/>
        <v>11.98698559734907</v>
      </c>
      <c r="S140" s="10">
        <f t="shared" si="34"/>
        <v>12.755338522926499</v>
      </c>
      <c r="T140" s="10">
        <f t="shared" si="35"/>
        <v>11.16718249061941</v>
      </c>
      <c r="U140" s="10">
        <f t="shared" si="36"/>
        <v>10.183056118095166</v>
      </c>
      <c r="V140" s="10">
        <f t="shared" si="37"/>
        <v>10.885793063744963</v>
      </c>
      <c r="W140" s="10">
        <f t="shared" si="38"/>
        <v>9.9709091156348499</v>
      </c>
      <c r="X140" s="10">
        <f t="shared" si="39"/>
        <v>10.713423624245957</v>
      </c>
      <c r="Y140" s="10">
        <f t="shared" si="40"/>
        <v>11.659245676881531</v>
      </c>
      <c r="Z140" s="10">
        <f t="shared" si="41"/>
        <v>10.67806579050257</v>
      </c>
    </row>
    <row r="141" spans="1:26" hidden="1" x14ac:dyDescent="0.3">
      <c r="A141" s="5" t="s">
        <v>34</v>
      </c>
      <c r="B141" s="5">
        <v>2016</v>
      </c>
      <c r="C141" s="5" t="s">
        <v>49</v>
      </c>
      <c r="D141" s="21">
        <f t="shared" si="31"/>
        <v>42644</v>
      </c>
      <c r="E141" s="4">
        <f>AVERAGE(All_India_Index_Upto_April23__1___1[[#This Row],[Cereals and products]:[Food and beverages]])</f>
        <v>135.90769230769226</v>
      </c>
      <c r="F141" s="5">
        <f>AVERAGE(All_India_Index_Upto_April23__1___1[[#This Row],[Pan, tobacco and intoxicants]])</f>
        <v>141.80000000000001</v>
      </c>
      <c r="G141" s="4">
        <f>AVERAGE(All_India_Index_Upto_April23__1___1[[#This Row],[Clothing]:[Clothing and footwear]])</f>
        <v>133.03333333333333</v>
      </c>
      <c r="H141" s="5">
        <f>AVERAGE(All_India_Index_Upto_April23__1___1[[#This Row],[Housing]:[Fuel and light]])</f>
        <v>124.3</v>
      </c>
      <c r="I141" s="5">
        <f>AVERAGE(All_India_Index_Upto_April23__1___1[[#This Row],[Household goods and services]:[Health]])</f>
        <v>127.25</v>
      </c>
      <c r="J141" s="5">
        <f>AVERAGE(All_India_Index_Upto_April23__1___1[[#This Row],[Transport and communication]])</f>
        <v>115.2</v>
      </c>
      <c r="K141" s="5">
        <f>AVERAGE(All_India_Index_Upto_April23__1___1[[#This Row],[Recreation and amusement]])</f>
        <v>123.5</v>
      </c>
      <c r="L141" s="5">
        <f>AVERAGE(All_India_Index_Upto_April23__1___1[[#This Row],[Education]])</f>
        <v>132.4</v>
      </c>
      <c r="M141" s="5">
        <f>AVERAGE(All_India_Index_Upto_April23__1___1[[#This Row],[Personal care and effects]])</f>
        <v>122.1</v>
      </c>
      <c r="N141" s="5">
        <f>AVERAGE(All_India_Index_Upto_April23__1___1[[#This Row],[Miscellaneous]])</f>
        <v>123.4</v>
      </c>
      <c r="O141" s="5">
        <f>AVERAGE(All_India_Index_Upto_April23__1___1[[#This Row],[General index]])</f>
        <v>131.4</v>
      </c>
      <c r="P141" s="2">
        <f>AVERAGE(E141:N141)</f>
        <v>127.88910256410256</v>
      </c>
      <c r="R141" s="10">
        <f t="shared" si="33"/>
        <v>106.26995544015996</v>
      </c>
      <c r="S141" s="10">
        <f t="shared" si="34"/>
        <v>110.87731257549862</v>
      </c>
      <c r="T141" s="10">
        <f t="shared" si="35"/>
        <v>104.02241525360012</v>
      </c>
      <c r="U141" s="10">
        <f t="shared" si="36"/>
        <v>97.193582180073889</v>
      </c>
      <c r="V141" s="10">
        <f t="shared" si="37"/>
        <v>99.500268161016919</v>
      </c>
      <c r="W141" s="10">
        <f t="shared" si="38"/>
        <v>90.078042374453034</v>
      </c>
      <c r="X141" s="10">
        <f t="shared" si="39"/>
        <v>96.568040219140187</v>
      </c>
      <c r="Y141" s="10">
        <f t="shared" si="40"/>
        <v>103.52719453452761</v>
      </c>
      <c r="Z141" s="10">
        <f t="shared" si="41"/>
        <v>95.4733417875062</v>
      </c>
    </row>
    <row r="142" spans="1:26" hidden="1" x14ac:dyDescent="0.3">
      <c r="A142" s="6" t="s">
        <v>30</v>
      </c>
      <c r="B142" s="6">
        <v>2016</v>
      </c>
      <c r="C142" s="6" t="s">
        <v>52</v>
      </c>
      <c r="D142" s="21">
        <f t="shared" si="31"/>
        <v>42675</v>
      </c>
      <c r="E142" s="4">
        <f>AVERAGE(All_India_Index_Upto_April23__1___1[[#This Row],[Cereals and products]:[Food and beverages]])</f>
        <v>135.73846153846154</v>
      </c>
      <c r="F142" s="5">
        <f>AVERAGE(All_India_Index_Upto_April23__1___1[[#This Row],[Pan, tobacco and intoxicants]])</f>
        <v>141.19999999999999</v>
      </c>
      <c r="G142" s="4">
        <f>AVERAGE(All_India_Index_Upto_April23__1___1[[#This Row],[Clothing]:[Clothing and footwear]])</f>
        <v>137.86666666666665</v>
      </c>
      <c r="H142" s="5">
        <f>AVERAGE(All_India_Index_Upto_April23__1___1[[#This Row],[Housing]:[Fuel and light]])</f>
        <v>130.30000000000001</v>
      </c>
      <c r="I142" s="5">
        <f>AVERAGE(All_India_Index_Upto_April23__1___1[[#This Row],[Household goods and services]:[Health]])</f>
        <v>130.6</v>
      </c>
      <c r="J142" s="5">
        <f>AVERAGE(All_India_Index_Upto_April23__1___1[[#This Row],[Transport and communication]])</f>
        <v>118.2</v>
      </c>
      <c r="K142" s="5">
        <f>AVERAGE(All_India_Index_Upto_April23__1___1[[#This Row],[Recreation and amusement]])</f>
        <v>126.9</v>
      </c>
      <c r="L142" s="5">
        <f>AVERAGE(All_India_Index_Upto_April23__1___1[[#This Row],[Education]])</f>
        <v>133.69999999999999</v>
      </c>
      <c r="M142" s="5">
        <f>AVERAGE(All_India_Index_Upto_April23__1___1[[#This Row],[Personal care and effects]])</f>
        <v>123.5</v>
      </c>
      <c r="N142" s="5">
        <f>AVERAGE(All_India_Index_Upto_April23__1___1[[#This Row],[Miscellaneous]])</f>
        <v>126.1</v>
      </c>
      <c r="O142" s="5">
        <f>AVERAGE(All_India_Index_Upto_April23__1___1[[#This Row],[General index]])</f>
        <v>133.6</v>
      </c>
      <c r="P142" s="2">
        <f t="shared" si="32"/>
        <v>1178.0051282051284</v>
      </c>
      <c r="R142" s="10">
        <f t="shared" si="33"/>
        <v>11.522739442168636</v>
      </c>
      <c r="S142" s="10">
        <f t="shared" si="34"/>
        <v>11.986365476620621</v>
      </c>
      <c r="T142" s="10">
        <f t="shared" si="35"/>
        <v>11.703401230241473</v>
      </c>
      <c r="U142" s="10">
        <f t="shared" si="36"/>
        <v>11.061072390960817</v>
      </c>
      <c r="V142" s="10">
        <f t="shared" si="37"/>
        <v>11.086539173134938</v>
      </c>
      <c r="W142" s="10">
        <f t="shared" si="38"/>
        <v>10.033912176604515</v>
      </c>
      <c r="X142" s="10">
        <f t="shared" si="39"/>
        <v>10.772448859654087</v>
      </c>
      <c r="Y142" s="10">
        <f t="shared" si="40"/>
        <v>11.349695922267543</v>
      </c>
      <c r="Z142" s="10">
        <f t="shared" si="41"/>
        <v>10.483825328347358</v>
      </c>
    </row>
    <row r="143" spans="1:26" hidden="1" x14ac:dyDescent="0.3">
      <c r="A143" s="5" t="s">
        <v>32</v>
      </c>
      <c r="B143" s="5">
        <v>2016</v>
      </c>
      <c r="C143" s="5" t="s">
        <v>52</v>
      </c>
      <c r="D143" s="21">
        <f t="shared" si="31"/>
        <v>42675</v>
      </c>
      <c r="E143" s="4">
        <f>AVERAGE(All_India_Index_Upto_April23__1___1[[#This Row],[Cereals and products]:[Food and beverages]])</f>
        <v>135.01538461538462</v>
      </c>
      <c r="F143" s="5">
        <f>AVERAGE(All_India_Index_Upto_April23__1___1[[#This Row],[Pan, tobacco and intoxicants]])</f>
        <v>144.30000000000001</v>
      </c>
      <c r="G143" s="4">
        <f>AVERAGE(All_India_Index_Upto_April23__1___1[[#This Row],[Clothing]:[Clothing and footwear]])</f>
        <v>126.73333333333333</v>
      </c>
      <c r="H143" s="5">
        <f>AVERAGE(All_India_Index_Upto_April23__1___1[[#This Row],[Housing]:[Fuel and light]])</f>
        <v>116.2</v>
      </c>
      <c r="I143" s="5">
        <f>AVERAGE(All_India_Index_Upto_April23__1___1[[#This Row],[Household goods and services]:[Health]])</f>
        <v>123.4</v>
      </c>
      <c r="J143" s="5">
        <f>AVERAGE(All_India_Index_Upto_April23__1___1[[#This Row],[Transport and communication]])</f>
        <v>113.4</v>
      </c>
      <c r="K143" s="5">
        <f>AVERAGE(All_India_Index_Upto_April23__1___1[[#This Row],[Recreation and amusement]])</f>
        <v>121.7</v>
      </c>
      <c r="L143" s="5">
        <f>AVERAGE(All_India_Index_Upto_April23__1___1[[#This Row],[Education]])</f>
        <v>132.1</v>
      </c>
      <c r="M143" s="5">
        <f>AVERAGE(All_India_Index_Upto_April23__1___1[[#This Row],[Personal care and effects]])</f>
        <v>121.3</v>
      </c>
      <c r="N143" s="5">
        <f>AVERAGE(All_India_Index_Upto_April23__1___1[[#This Row],[Miscellaneous]])</f>
        <v>121.3</v>
      </c>
      <c r="O143" s="5">
        <f>AVERAGE(All_India_Index_Upto_April23__1___1[[#This Row],[General index]])</f>
        <v>128.5</v>
      </c>
      <c r="P143" s="2">
        <f t="shared" si="32"/>
        <v>1134.1487179487181</v>
      </c>
      <c r="R143" s="10">
        <f t="shared" si="33"/>
        <v>11.904557354663387</v>
      </c>
      <c r="S143" s="10">
        <f t="shared" si="34"/>
        <v>12.723199146315547</v>
      </c>
      <c r="T143" s="10">
        <f t="shared" si="35"/>
        <v>11.174313502954886</v>
      </c>
      <c r="U143" s="10">
        <f t="shared" si="36"/>
        <v>10.245569929326864</v>
      </c>
      <c r="V143" s="10">
        <f t="shared" si="37"/>
        <v>10.880407308768804</v>
      </c>
      <c r="W143" s="10">
        <f t="shared" si="38"/>
        <v>9.9986887262105544</v>
      </c>
      <c r="X143" s="10">
        <f t="shared" si="39"/>
        <v>10.7305151497339</v>
      </c>
      <c r="Y143" s="10">
        <f t="shared" si="40"/>
        <v>11.64750247559448</v>
      </c>
      <c r="Z143" s="10">
        <f t="shared" si="41"/>
        <v>10.69524640643157</v>
      </c>
    </row>
    <row r="144" spans="1:26" hidden="1" x14ac:dyDescent="0.3">
      <c r="A144" s="6" t="s">
        <v>34</v>
      </c>
      <c r="B144" s="6">
        <v>2016</v>
      </c>
      <c r="C144" s="6" t="s">
        <v>52</v>
      </c>
      <c r="D144" s="21">
        <f t="shared" si="31"/>
        <v>42675</v>
      </c>
      <c r="E144" s="4">
        <f>AVERAGE(All_India_Index_Upto_April23__1___1[[#This Row],[Cereals and products]:[Food and beverages]])</f>
        <v>135.36923076923077</v>
      </c>
      <c r="F144" s="5">
        <f>AVERAGE(All_India_Index_Upto_April23__1___1[[#This Row],[Pan, tobacco and intoxicants]])</f>
        <v>142</v>
      </c>
      <c r="G144" s="4">
        <f>AVERAGE(All_India_Index_Upto_April23__1___1[[#This Row],[Clothing]:[Clothing and footwear]])</f>
        <v>133.36666666666667</v>
      </c>
      <c r="H144" s="5">
        <f>AVERAGE(All_India_Index_Upto_April23__1___1[[#This Row],[Housing]:[Fuel and light]])</f>
        <v>125</v>
      </c>
      <c r="I144" s="5">
        <f>AVERAGE(All_India_Index_Upto_April23__1___1[[#This Row],[Household goods and services]:[Health]])</f>
        <v>127.5</v>
      </c>
      <c r="J144" s="5">
        <f>AVERAGE(All_India_Index_Upto_April23__1___1[[#This Row],[Transport and communication]])</f>
        <v>115.7</v>
      </c>
      <c r="K144" s="5">
        <f>AVERAGE(All_India_Index_Upto_April23__1___1[[#This Row],[Recreation and amusement]])</f>
        <v>124</v>
      </c>
      <c r="L144" s="5">
        <f>AVERAGE(All_India_Index_Upto_April23__1___1[[#This Row],[Education]])</f>
        <v>132.80000000000001</v>
      </c>
      <c r="M144" s="5">
        <f>AVERAGE(All_India_Index_Upto_April23__1___1[[#This Row],[Personal care and effects]])</f>
        <v>122.6</v>
      </c>
      <c r="N144" s="5">
        <f>AVERAGE(All_India_Index_Upto_April23__1___1[[#This Row],[Miscellaneous]])</f>
        <v>123.8</v>
      </c>
      <c r="O144" s="5">
        <f>AVERAGE(All_India_Index_Upto_April23__1___1[[#This Row],[General index]])</f>
        <v>131.19999999999999</v>
      </c>
      <c r="P144" s="2">
        <f>AVERAGE(E144:N144)</f>
        <v>128.21358974358972</v>
      </c>
      <c r="R144" s="10">
        <f t="shared" si="33"/>
        <v>105.58103165191099</v>
      </c>
      <c r="S144" s="10">
        <f t="shared" si="34"/>
        <v>110.75269032243872</v>
      </c>
      <c r="T144" s="10">
        <f t="shared" si="35"/>
        <v>104.01913473710738</v>
      </c>
      <c r="U144" s="10">
        <f t="shared" si="36"/>
        <v>97.493565424681989</v>
      </c>
      <c r="V144" s="10">
        <f t="shared" si="37"/>
        <v>99.443436733175631</v>
      </c>
      <c r="W144" s="10">
        <f t="shared" si="38"/>
        <v>90.240044157085649</v>
      </c>
      <c r="X144" s="10">
        <f t="shared" si="39"/>
        <v>96.713616901284524</v>
      </c>
      <c r="Y144" s="10">
        <f t="shared" si="40"/>
        <v>103.57716390718214</v>
      </c>
      <c r="Z144" s="10">
        <f t="shared" si="41"/>
        <v>95.62168896852809</v>
      </c>
    </row>
    <row r="145" spans="1:26" hidden="1" x14ac:dyDescent="0.3">
      <c r="A145" s="5" t="s">
        <v>30</v>
      </c>
      <c r="B145" s="5">
        <v>2016</v>
      </c>
      <c r="C145" s="5" t="s">
        <v>54</v>
      </c>
      <c r="D145" s="21">
        <f t="shared" si="31"/>
        <v>42705</v>
      </c>
      <c r="E145" s="4">
        <f>AVERAGE(All_India_Index_Upto_April23__1___1[[#This Row],[Cereals and products]:[Food and beverages]])</f>
        <v>134.54615384615383</v>
      </c>
      <c r="F145" s="5">
        <f>AVERAGE(All_India_Index_Upto_April23__1___1[[#This Row],[Pan, tobacco and intoxicants]])</f>
        <v>142.4</v>
      </c>
      <c r="G145" s="4">
        <f>AVERAGE(All_India_Index_Upto_April23__1___1[[#This Row],[Clothing]:[Clothing and footwear]])</f>
        <v>138.43333333333334</v>
      </c>
      <c r="H145" s="5">
        <f>AVERAGE(All_India_Index_Upto_April23__1___1[[#This Row],[Housing]:[Fuel and light]])</f>
        <v>132</v>
      </c>
      <c r="I145" s="5">
        <f>AVERAGE(All_India_Index_Upto_April23__1___1[[#This Row],[Household goods and services]:[Health]])</f>
        <v>131.30000000000001</v>
      </c>
      <c r="J145" s="5">
        <f>AVERAGE(All_India_Index_Upto_April23__1___1[[#This Row],[Transport and communication]])</f>
        <v>118.6</v>
      </c>
      <c r="K145" s="5">
        <f>AVERAGE(All_India_Index_Upto_April23__1___1[[#This Row],[Recreation and amusement]])</f>
        <v>127.3</v>
      </c>
      <c r="L145" s="5">
        <f>AVERAGE(All_India_Index_Upto_April23__1___1[[#This Row],[Education]])</f>
        <v>134.19999999999999</v>
      </c>
      <c r="M145" s="5">
        <f>AVERAGE(All_India_Index_Upto_April23__1___1[[#This Row],[Personal care and effects]])</f>
        <v>121.9</v>
      </c>
      <c r="N145" s="5">
        <f>AVERAGE(All_India_Index_Upto_April23__1___1[[#This Row],[Miscellaneous]])</f>
        <v>126.3</v>
      </c>
      <c r="O145" s="5">
        <f>AVERAGE(All_India_Index_Upto_April23__1___1[[#This Row],[General index]])</f>
        <v>132.80000000000001</v>
      </c>
      <c r="P145" s="2">
        <f t="shared" si="32"/>
        <v>1180.6794871794871</v>
      </c>
      <c r="R145" s="10">
        <f t="shared" si="33"/>
        <v>11.395654392842019</v>
      </c>
      <c r="S145" s="10">
        <f t="shared" si="34"/>
        <v>12.060851530518065</v>
      </c>
      <c r="T145" s="10">
        <f t="shared" si="35"/>
        <v>11.72488679921384</v>
      </c>
      <c r="U145" s="10">
        <f t="shared" si="36"/>
        <v>11.180002823233037</v>
      </c>
      <c r="V145" s="10">
        <f t="shared" si="37"/>
        <v>11.120714929473468</v>
      </c>
      <c r="W145" s="10">
        <f t="shared" si="38"/>
        <v>10.045063142692713</v>
      </c>
      <c r="X145" s="10">
        <f t="shared" si="39"/>
        <v>10.781926965133072</v>
      </c>
      <c r="Y145" s="10">
        <f t="shared" si="40"/>
        <v>11.366336203620254</v>
      </c>
      <c r="Z145" s="10">
        <f t="shared" si="41"/>
        <v>10.324563213273539</v>
      </c>
    </row>
    <row r="146" spans="1:26" hidden="1" x14ac:dyDescent="0.3">
      <c r="A146" s="6" t="s">
        <v>32</v>
      </c>
      <c r="B146" s="6">
        <v>2016</v>
      </c>
      <c r="C146" s="6" t="s">
        <v>54</v>
      </c>
      <c r="D146" s="21">
        <f t="shared" si="31"/>
        <v>42705</v>
      </c>
      <c r="E146" s="4">
        <f>AVERAGE(All_India_Index_Upto_April23__1___1[[#This Row],[Cereals and products]:[Food and beverages]])</f>
        <v>133.06153846153845</v>
      </c>
      <c r="F146" s="5">
        <f>AVERAGE(All_India_Index_Upto_April23__1___1[[#This Row],[Pan, tobacco and intoxicants]])</f>
        <v>145</v>
      </c>
      <c r="G146" s="4">
        <f>AVERAGE(All_India_Index_Upto_April23__1___1[[#This Row],[Clothing]:[Clothing and footwear]])</f>
        <v>127</v>
      </c>
      <c r="H146" s="5">
        <f>AVERAGE(All_India_Index_Upto_April23__1___1[[#This Row],[Housing]:[Fuel and light]])</f>
        <v>117.8</v>
      </c>
      <c r="I146" s="5">
        <f>AVERAGE(All_India_Index_Upto_April23__1___1[[#This Row],[Household goods and services]:[Health]])</f>
        <v>123.65</v>
      </c>
      <c r="J146" s="5">
        <f>AVERAGE(All_India_Index_Upto_April23__1___1[[#This Row],[Transport and communication]])</f>
        <v>113.7</v>
      </c>
      <c r="K146" s="5">
        <f>AVERAGE(All_India_Index_Upto_April23__1___1[[#This Row],[Recreation and amusement]])</f>
        <v>121.8</v>
      </c>
      <c r="L146" s="5">
        <f>AVERAGE(All_India_Index_Upto_April23__1___1[[#This Row],[Education]])</f>
        <v>132.30000000000001</v>
      </c>
      <c r="M146" s="5">
        <f>AVERAGE(All_India_Index_Upto_April23__1___1[[#This Row],[Personal care and effects]])</f>
        <v>119.9</v>
      </c>
      <c r="N146" s="5">
        <f>AVERAGE(All_India_Index_Upto_April23__1___1[[#This Row],[Miscellaneous]])</f>
        <v>121.4</v>
      </c>
      <c r="O146" s="5">
        <f>AVERAGE(All_India_Index_Upto_April23__1___1[[#This Row],[General index]])</f>
        <v>127.6</v>
      </c>
      <c r="P146" s="2">
        <f t="shared" si="32"/>
        <v>1134.2115384615386</v>
      </c>
      <c r="R146" s="10">
        <f t="shared" si="33"/>
        <v>11.731633293206054</v>
      </c>
      <c r="S146" s="10">
        <f t="shared" si="34"/>
        <v>12.784211329456246</v>
      </c>
      <c r="T146" s="10">
        <f t="shared" si="35"/>
        <v>11.197205785109954</v>
      </c>
      <c r="U146" s="10">
        <f t="shared" si="36"/>
        <v>10.386069617999626</v>
      </c>
      <c r="V146" s="10">
        <f t="shared" si="37"/>
        <v>10.901846419912172</v>
      </c>
      <c r="W146" s="10">
        <f t="shared" si="38"/>
        <v>10.024585021787415</v>
      </c>
      <c r="X146" s="10">
        <f t="shared" si="39"/>
        <v>10.738737516743246</v>
      </c>
      <c r="Y146" s="10">
        <f t="shared" si="40"/>
        <v>11.664490750945252</v>
      </c>
      <c r="Z146" s="10">
        <f t="shared" si="41"/>
        <v>10.571220264840028</v>
      </c>
    </row>
    <row r="147" spans="1:26" hidden="1" x14ac:dyDescent="0.3">
      <c r="A147" s="5" t="s">
        <v>34</v>
      </c>
      <c r="B147" s="5">
        <v>2016</v>
      </c>
      <c r="C147" s="5" t="s">
        <v>54</v>
      </c>
      <c r="D147" s="21">
        <f t="shared" si="31"/>
        <v>42705</v>
      </c>
      <c r="E147" s="4">
        <f>AVERAGE(All_India_Index_Upto_April23__1___1[[#This Row],[Cereals and products]:[Food and beverages]])</f>
        <v>133.9</v>
      </c>
      <c r="F147" s="5">
        <f>AVERAGE(All_India_Index_Upto_April23__1___1[[#This Row],[Pan, tobacco and intoxicants]])</f>
        <v>143.1</v>
      </c>
      <c r="G147" s="4">
        <f>AVERAGE(All_India_Index_Upto_April23__1___1[[#This Row],[Clothing]:[Clothing and footwear]])</f>
        <v>133.83333333333334</v>
      </c>
      <c r="H147" s="5">
        <f>AVERAGE(All_India_Index_Upto_April23__1___1[[#This Row],[Housing]:[Fuel and light]])</f>
        <v>126.6</v>
      </c>
      <c r="I147" s="5">
        <f>AVERAGE(All_India_Index_Upto_April23__1___1[[#This Row],[Household goods and services]:[Health]])</f>
        <v>128.05000000000001</v>
      </c>
      <c r="J147" s="5">
        <f>AVERAGE(All_India_Index_Upto_April23__1___1[[#This Row],[Transport and communication]])</f>
        <v>116</v>
      </c>
      <c r="K147" s="5">
        <f>AVERAGE(All_India_Index_Upto_April23__1___1[[#This Row],[Recreation and amusement]])</f>
        <v>124.2</v>
      </c>
      <c r="L147" s="5">
        <f>AVERAGE(All_India_Index_Upto_April23__1___1[[#This Row],[Education]])</f>
        <v>133.1</v>
      </c>
      <c r="M147" s="5">
        <f>AVERAGE(All_India_Index_Upto_April23__1___1[[#This Row],[Personal care and effects]])</f>
        <v>121.1</v>
      </c>
      <c r="N147" s="5">
        <f>AVERAGE(All_India_Index_Upto_April23__1___1[[#This Row],[Miscellaneous]])</f>
        <v>123.9</v>
      </c>
      <c r="O147" s="5">
        <f>AVERAGE(All_India_Index_Upto_April23__1___1[[#This Row],[General index]])</f>
        <v>130.4</v>
      </c>
      <c r="P147" s="2">
        <f>AVERAGE(E147:N147)</f>
        <v>128.37833333333333</v>
      </c>
      <c r="R147" s="10">
        <f t="shared" si="33"/>
        <v>104.30108922845235</v>
      </c>
      <c r="S147" s="10">
        <f t="shared" si="34"/>
        <v>111.46740753242371</v>
      </c>
      <c r="T147" s="10">
        <f t="shared" si="35"/>
        <v>104.24915938566997</v>
      </c>
      <c r="U147" s="10">
        <f t="shared" si="36"/>
        <v>98.614771443779446</v>
      </c>
      <c r="V147" s="10">
        <f t="shared" si="37"/>
        <v>99.744245524296687</v>
      </c>
      <c r="W147" s="10">
        <f t="shared" si="38"/>
        <v>90.3579264413777</v>
      </c>
      <c r="X147" s="10">
        <f t="shared" si="39"/>
        <v>96.745297103613026</v>
      </c>
      <c r="Y147" s="10">
        <f t="shared" si="40"/>
        <v>103.67793111506354</v>
      </c>
      <c r="Z147" s="10">
        <f t="shared" si="41"/>
        <v>94.330559414231374</v>
      </c>
    </row>
    <row r="148" spans="1:26" hidden="1" x14ac:dyDescent="0.3">
      <c r="A148" s="6" t="s">
        <v>30</v>
      </c>
      <c r="B148" s="6">
        <v>2017</v>
      </c>
      <c r="C148" s="6" t="s">
        <v>31</v>
      </c>
      <c r="D148" s="21">
        <f t="shared" si="31"/>
        <v>42736</v>
      </c>
      <c r="E148" s="4">
        <f>AVERAGE(All_India_Index_Upto_April23__1___1[[#This Row],[Cereals and products]:[Food and beverages]])</f>
        <v>133.63846153846154</v>
      </c>
      <c r="F148" s="5">
        <f>AVERAGE(All_India_Index_Upto_April23__1___1[[#This Row],[Pan, tobacco and intoxicants]])</f>
        <v>143.1</v>
      </c>
      <c r="G148" s="4">
        <f>AVERAGE(All_India_Index_Upto_April23__1___1[[#This Row],[Clothing]:[Clothing and footwear]])</f>
        <v>138.83333333333334</v>
      </c>
      <c r="H148" s="5">
        <f>AVERAGE(All_India_Index_Upto_April23__1___1[[#This Row],[Housing]:[Fuel and light]])</f>
        <v>132.1</v>
      </c>
      <c r="I148" s="5">
        <f>AVERAGE(All_India_Index_Upto_April23__1___1[[#This Row],[Household goods and services]:[Health]])</f>
        <v>131.55000000000001</v>
      </c>
      <c r="J148" s="5">
        <f>AVERAGE(All_India_Index_Upto_April23__1___1[[#This Row],[Transport and communication]])</f>
        <v>119.1</v>
      </c>
      <c r="K148" s="5">
        <f>AVERAGE(All_India_Index_Upto_April23__1___1[[#This Row],[Recreation and amusement]])</f>
        <v>127</v>
      </c>
      <c r="L148" s="5">
        <f>AVERAGE(All_India_Index_Upto_April23__1___1[[#This Row],[Education]])</f>
        <v>134.6</v>
      </c>
      <c r="M148" s="5">
        <f>AVERAGE(All_India_Index_Upto_April23__1___1[[#This Row],[Personal care and effects]])</f>
        <v>122.3</v>
      </c>
      <c r="N148" s="5">
        <f>AVERAGE(All_India_Index_Upto_April23__1___1[[#This Row],[Miscellaneous]])</f>
        <v>126.6</v>
      </c>
      <c r="O148" s="5">
        <f>AVERAGE(All_India_Index_Upto_April23__1___1[[#This Row],[General index]])</f>
        <v>132.4</v>
      </c>
      <c r="P148" s="2">
        <f t="shared" si="32"/>
        <v>1182.2217948717948</v>
      </c>
      <c r="R148" s="10">
        <f t="shared" si="33"/>
        <v>11.304009291501336</v>
      </c>
      <c r="S148" s="10">
        <f t="shared" si="34"/>
        <v>12.104327683750608</v>
      </c>
      <c r="T148" s="10">
        <f t="shared" si="35"/>
        <v>11.743425297652292</v>
      </c>
      <c r="U148" s="10">
        <f t="shared" si="36"/>
        <v>11.173876219590884</v>
      </c>
      <c r="V148" s="10">
        <f t="shared" si="37"/>
        <v>11.127353646382899</v>
      </c>
      <c r="W148" s="10">
        <f t="shared" si="38"/>
        <v>10.07425176194757</v>
      </c>
      <c r="X148" s="10">
        <f t="shared" si="39"/>
        <v>10.742485086207738</v>
      </c>
      <c r="Y148" s="10">
        <f t="shared" si="40"/>
        <v>11.385342461445367</v>
      </c>
      <c r="Z148" s="10">
        <f t="shared" si="41"/>
        <v>10.34492855152131</v>
      </c>
    </row>
    <row r="149" spans="1:26" hidden="1" x14ac:dyDescent="0.3">
      <c r="A149" s="5" t="s">
        <v>32</v>
      </c>
      <c r="B149" s="5">
        <v>2017</v>
      </c>
      <c r="C149" s="5" t="s">
        <v>31</v>
      </c>
      <c r="D149" s="21">
        <f t="shared" si="31"/>
        <v>42736</v>
      </c>
      <c r="E149" s="4">
        <f>AVERAGE(All_India_Index_Upto_April23__1___1[[#This Row],[Cereals and products]:[Food and beverages]])</f>
        <v>131.78461538461539</v>
      </c>
      <c r="F149" s="5">
        <f>AVERAGE(All_India_Index_Upto_April23__1___1[[#This Row],[Pan, tobacco and intoxicants]])</f>
        <v>145.6</v>
      </c>
      <c r="G149" s="4">
        <f>AVERAGE(All_India_Index_Upto_April23__1___1[[#This Row],[Clothing]:[Clothing and footwear]])</f>
        <v>127.16666666666667</v>
      </c>
      <c r="H149" s="5">
        <f>AVERAGE(All_India_Index_Upto_April23__1___1[[#This Row],[Housing]:[Fuel and light]])</f>
        <v>118</v>
      </c>
      <c r="I149" s="5">
        <f>AVERAGE(All_India_Index_Upto_April23__1___1[[#This Row],[Household goods and services]:[Health]])</f>
        <v>123.85</v>
      </c>
      <c r="J149" s="5">
        <f>AVERAGE(All_India_Index_Upto_April23__1___1[[#This Row],[Transport and communication]])</f>
        <v>115.2</v>
      </c>
      <c r="K149" s="5">
        <f>AVERAGE(All_India_Index_Upto_April23__1___1[[#This Row],[Recreation and amusement]])</f>
        <v>122</v>
      </c>
      <c r="L149" s="5">
        <f>AVERAGE(All_India_Index_Upto_April23__1___1[[#This Row],[Education]])</f>
        <v>132.4</v>
      </c>
      <c r="M149" s="5">
        <f>AVERAGE(All_India_Index_Upto_April23__1___1[[#This Row],[Personal care and effects]])</f>
        <v>120.9</v>
      </c>
      <c r="N149" s="5">
        <f>AVERAGE(All_India_Index_Upto_April23__1___1[[#This Row],[Miscellaneous]])</f>
        <v>122.1</v>
      </c>
      <c r="O149" s="5">
        <f>AVERAGE(All_India_Index_Upto_April23__1___1[[#This Row],[General index]])</f>
        <v>127.8</v>
      </c>
      <c r="P149" s="2">
        <f t="shared" si="32"/>
        <v>1136.9012820512821</v>
      </c>
      <c r="R149" s="10">
        <f t="shared" si="33"/>
        <v>11.591561858989177</v>
      </c>
      <c r="S149" s="10">
        <f t="shared" si="34"/>
        <v>12.806740769726076</v>
      </c>
      <c r="T149" s="10">
        <f t="shared" si="35"/>
        <v>11.18537455048191</v>
      </c>
      <c r="U149" s="10">
        <f t="shared" si="36"/>
        <v>10.379089360080199</v>
      </c>
      <c r="V149" s="10">
        <f t="shared" si="37"/>
        <v>10.893645908863835</v>
      </c>
      <c r="W149" s="10">
        <f t="shared" si="38"/>
        <v>10.132805883739314</v>
      </c>
      <c r="X149" s="10">
        <f t="shared" si="39"/>
        <v>10.730922897710036</v>
      </c>
      <c r="Y149" s="10">
        <f t="shared" si="40"/>
        <v>11.645690095547614</v>
      </c>
      <c r="Z149" s="10">
        <f t="shared" si="41"/>
        <v>10.634168674861833</v>
      </c>
    </row>
    <row r="150" spans="1:26" hidden="1" x14ac:dyDescent="0.3">
      <c r="A150" s="6" t="s">
        <v>34</v>
      </c>
      <c r="B150" s="6">
        <v>2017</v>
      </c>
      <c r="C150" s="6" t="s">
        <v>31</v>
      </c>
      <c r="D150" s="21">
        <f t="shared" si="31"/>
        <v>42736</v>
      </c>
      <c r="E150" s="4">
        <f>AVERAGE(All_India_Index_Upto_April23__1___1[[#This Row],[Cereals and products]:[Food and beverages]])</f>
        <v>132.86923076923074</v>
      </c>
      <c r="F150" s="5">
        <f>AVERAGE(All_India_Index_Upto_April23__1___1[[#This Row],[Pan, tobacco and intoxicants]])</f>
        <v>143.80000000000001</v>
      </c>
      <c r="G150" s="4">
        <f>AVERAGE(All_India_Index_Upto_April23__1___1[[#This Row],[Clothing]:[Clothing and footwear]])</f>
        <v>134.13333333333333</v>
      </c>
      <c r="H150" s="5">
        <f>AVERAGE(All_India_Index_Upto_April23__1___1[[#This Row],[Housing]:[Fuel and light]])</f>
        <v>126.8</v>
      </c>
      <c r="I150" s="5">
        <f>AVERAGE(All_India_Index_Upto_April23__1___1[[#This Row],[Household goods and services]:[Health]])</f>
        <v>128.25</v>
      </c>
      <c r="J150" s="5">
        <f>AVERAGE(All_India_Index_Upto_April23__1___1[[#This Row],[Transport and communication]])</f>
        <v>117</v>
      </c>
      <c r="K150" s="5">
        <f>AVERAGE(All_India_Index_Upto_April23__1___1[[#This Row],[Recreation and amusement]])</f>
        <v>124.2</v>
      </c>
      <c r="L150" s="5">
        <f>AVERAGE(All_India_Index_Upto_April23__1___1[[#This Row],[Education]])</f>
        <v>133.30000000000001</v>
      </c>
      <c r="M150" s="5">
        <f>AVERAGE(All_India_Index_Upto_April23__1___1[[#This Row],[Personal care and effects]])</f>
        <v>121.7</v>
      </c>
      <c r="N150" s="5">
        <f>AVERAGE(All_India_Index_Upto_April23__1___1[[#This Row],[Miscellaneous]])</f>
        <v>124.4</v>
      </c>
      <c r="O150" s="5">
        <f>AVERAGE(All_India_Index_Upto_April23__1___1[[#This Row],[General index]])</f>
        <v>130.30000000000001</v>
      </c>
      <c r="P150" s="2">
        <f>AVERAGE(E150:N150)</f>
        <v>128.64525641025642</v>
      </c>
      <c r="R150" s="10">
        <f t="shared" si="33"/>
        <v>103.28342799170444</v>
      </c>
      <c r="S150" s="10">
        <f t="shared" si="34"/>
        <v>111.78025837300547</v>
      </c>
      <c r="T150" s="10">
        <f t="shared" si="35"/>
        <v>104.26605463443994</v>
      </c>
      <c r="U150" s="10">
        <f t="shared" si="36"/>
        <v>98.565624212079911</v>
      </c>
      <c r="V150" s="10">
        <f t="shared" si="37"/>
        <v>99.692754772864745</v>
      </c>
      <c r="W150" s="10">
        <f t="shared" si="38"/>
        <v>90.947776284016953</v>
      </c>
      <c r="X150" s="10">
        <f t="shared" si="39"/>
        <v>96.544562516879552</v>
      </c>
      <c r="Y150" s="10">
        <f t="shared" si="40"/>
        <v>103.61827845008087</v>
      </c>
      <c r="Z150" s="10">
        <f t="shared" si="41"/>
        <v>94.601233963802258</v>
      </c>
    </row>
    <row r="151" spans="1:26" hidden="1" x14ac:dyDescent="0.3">
      <c r="A151" s="5" t="s">
        <v>30</v>
      </c>
      <c r="B151" s="5">
        <v>2017</v>
      </c>
      <c r="C151" s="5" t="s">
        <v>35</v>
      </c>
      <c r="D151" s="21">
        <f t="shared" si="31"/>
        <v>42767</v>
      </c>
      <c r="E151" s="4">
        <f>AVERAGE(All_India_Index_Upto_April23__1___1[[#This Row],[Cereals and products]:[Food and beverages]])</f>
        <v>133.42307692307693</v>
      </c>
      <c r="F151" s="5">
        <f>AVERAGE(All_India_Index_Upto_April23__1___1[[#This Row],[Pan, tobacco and intoxicants]])</f>
        <v>143.69999999999999</v>
      </c>
      <c r="G151" s="4">
        <f>AVERAGE(All_India_Index_Upto_April23__1___1[[#This Row],[Clothing]:[Clothing and footwear]])</f>
        <v>138.96666666666667</v>
      </c>
      <c r="H151" s="5">
        <f>AVERAGE(All_India_Index_Upto_April23__1___1[[#This Row],[Housing]:[Fuel and light]])</f>
        <v>133.19999999999999</v>
      </c>
      <c r="I151" s="5">
        <f>AVERAGE(All_India_Index_Upto_April23__1___1[[#This Row],[Household goods and services]:[Health]])</f>
        <v>131.85</v>
      </c>
      <c r="J151" s="5">
        <f>AVERAGE(All_India_Index_Upto_April23__1___1[[#This Row],[Transport and communication]])</f>
        <v>119.5</v>
      </c>
      <c r="K151" s="5">
        <f>AVERAGE(All_India_Index_Upto_April23__1___1[[#This Row],[Recreation and amusement]])</f>
        <v>127.7</v>
      </c>
      <c r="L151" s="5">
        <f>AVERAGE(All_India_Index_Upto_April23__1___1[[#This Row],[Education]])</f>
        <v>134.9</v>
      </c>
      <c r="M151" s="5">
        <f>AVERAGE(All_India_Index_Upto_April23__1___1[[#This Row],[Personal care and effects]])</f>
        <v>123.2</v>
      </c>
      <c r="N151" s="5">
        <f>AVERAGE(All_India_Index_Upto_April23__1___1[[#This Row],[Miscellaneous]])</f>
        <v>127</v>
      </c>
      <c r="O151" s="5">
        <f>AVERAGE(All_India_Index_Upto_April23__1___1[[#This Row],[General index]])</f>
        <v>132.6</v>
      </c>
      <c r="P151" s="2">
        <f t="shared" si="32"/>
        <v>1186.4397435897438</v>
      </c>
      <c r="R151" s="10">
        <f t="shared" si="33"/>
        <v>11.245668197137956</v>
      </c>
      <c r="S151" s="10">
        <f t="shared" si="34"/>
        <v>12.111866681506724</v>
      </c>
      <c r="T151" s="10">
        <f t="shared" si="35"/>
        <v>11.71291398636083</v>
      </c>
      <c r="U151" s="10">
        <f t="shared" si="36"/>
        <v>11.226865984528153</v>
      </c>
      <c r="V151" s="10">
        <f t="shared" si="37"/>
        <v>11.113080180630909</v>
      </c>
      <c r="W151" s="10">
        <f t="shared" si="38"/>
        <v>10.072150789422782</v>
      </c>
      <c r="X151" s="10">
        <f t="shared" si="39"/>
        <v>10.763294190872713</v>
      </c>
      <c r="Y151" s="10">
        <f t="shared" si="40"/>
        <v>11.370151811658019</v>
      </c>
      <c r="Z151" s="10">
        <f t="shared" si="41"/>
        <v>10.384008177881897</v>
      </c>
    </row>
    <row r="152" spans="1:26" hidden="1" x14ac:dyDescent="0.3">
      <c r="A152" s="6" t="s">
        <v>32</v>
      </c>
      <c r="B152" s="6">
        <v>2017</v>
      </c>
      <c r="C152" s="6" t="s">
        <v>35</v>
      </c>
      <c r="D152" s="21">
        <f t="shared" si="31"/>
        <v>42767</v>
      </c>
      <c r="E152" s="4">
        <f>AVERAGE(All_India_Index_Upto_April23__1___1[[#This Row],[Cereals and products]:[Food and beverages]])</f>
        <v>131.17692307692309</v>
      </c>
      <c r="F152" s="5">
        <f>AVERAGE(All_India_Index_Upto_April23__1___1[[#This Row],[Pan, tobacco and intoxicants]])</f>
        <v>146.30000000000001</v>
      </c>
      <c r="G152" s="4">
        <f>AVERAGE(All_India_Index_Upto_April23__1___1[[#This Row],[Clothing]:[Clothing and footwear]])</f>
        <v>127.43333333333334</v>
      </c>
      <c r="H152" s="5">
        <f>AVERAGE(All_India_Index_Upto_April23__1___1[[#This Row],[Housing]:[Fuel and light]])</f>
        <v>119.2</v>
      </c>
      <c r="I152" s="5">
        <f>AVERAGE(All_India_Index_Upto_April23__1___1[[#This Row],[Household goods and services]:[Health]])</f>
        <v>124.1</v>
      </c>
      <c r="J152" s="5">
        <f>AVERAGE(All_India_Index_Upto_April23__1___1[[#This Row],[Transport and communication]])</f>
        <v>115.5</v>
      </c>
      <c r="K152" s="5">
        <f>AVERAGE(All_India_Index_Upto_April23__1___1[[#This Row],[Recreation and amusement]])</f>
        <v>122.2</v>
      </c>
      <c r="L152" s="5">
        <f>AVERAGE(All_India_Index_Upto_April23__1___1[[#This Row],[Education]])</f>
        <v>132.4</v>
      </c>
      <c r="M152" s="5">
        <f>AVERAGE(All_India_Index_Upto_April23__1___1[[#This Row],[Personal care and effects]])</f>
        <v>121.7</v>
      </c>
      <c r="N152" s="5">
        <f>AVERAGE(All_India_Index_Upto_April23__1___1[[#This Row],[Miscellaneous]])</f>
        <v>122.4</v>
      </c>
      <c r="O152" s="5">
        <f>AVERAGE(All_India_Index_Upto_April23__1___1[[#This Row],[General index]])</f>
        <v>128.19999999999999</v>
      </c>
      <c r="P152" s="2">
        <f t="shared" si="32"/>
        <v>1140.0102564102565</v>
      </c>
      <c r="R152" s="10">
        <f t="shared" si="33"/>
        <v>11.5066441147628</v>
      </c>
      <c r="S152" s="10">
        <f t="shared" si="34"/>
        <v>12.833217874782953</v>
      </c>
      <c r="T152" s="10">
        <f t="shared" si="35"/>
        <v>11.178262003940585</v>
      </c>
      <c r="U152" s="10">
        <f t="shared" si="36"/>
        <v>10.456046279385699</v>
      </c>
      <c r="V152" s="10">
        <f t="shared" si="37"/>
        <v>10.88586697375642</v>
      </c>
      <c r="W152" s="10">
        <f t="shared" si="38"/>
        <v>10.131487795881277</v>
      </c>
      <c r="X152" s="10">
        <f t="shared" si="39"/>
        <v>10.719201806551446</v>
      </c>
      <c r="Y152" s="10">
        <f t="shared" si="40"/>
        <v>11.61393059891499</v>
      </c>
      <c r="Z152" s="10">
        <f t="shared" si="41"/>
        <v>10.675342552023823</v>
      </c>
    </row>
    <row r="153" spans="1:26" hidden="1" x14ac:dyDescent="0.3">
      <c r="A153" s="5" t="s">
        <v>34</v>
      </c>
      <c r="B153" s="5">
        <v>2017</v>
      </c>
      <c r="C153" s="5" t="s">
        <v>35</v>
      </c>
      <c r="D153" s="21">
        <f t="shared" si="31"/>
        <v>42767</v>
      </c>
      <c r="E153" s="4">
        <f>AVERAGE(All_India_Index_Upto_April23__1___1[[#This Row],[Cereals and products]:[Food and beverages]])</f>
        <v>132.48461538461541</v>
      </c>
      <c r="F153" s="5">
        <f>AVERAGE(All_India_Index_Upto_April23__1___1[[#This Row],[Pan, tobacco and intoxicants]])</f>
        <v>144.4</v>
      </c>
      <c r="G153" s="4">
        <f>AVERAGE(All_India_Index_Upto_April23__1___1[[#This Row],[Clothing]:[Clothing and footwear]])</f>
        <v>134.33333333333334</v>
      </c>
      <c r="H153" s="5">
        <f>AVERAGE(All_India_Index_Upto_April23__1___1[[#This Row],[Housing]:[Fuel and light]])</f>
        <v>127.9</v>
      </c>
      <c r="I153" s="5">
        <f>AVERAGE(All_India_Index_Upto_April23__1___1[[#This Row],[Household goods and services]:[Health]])</f>
        <v>128.55000000000001</v>
      </c>
      <c r="J153" s="5">
        <f>AVERAGE(All_India_Index_Upto_April23__1___1[[#This Row],[Transport and communication]])</f>
        <v>117.4</v>
      </c>
      <c r="K153" s="5">
        <f>AVERAGE(All_India_Index_Upto_April23__1___1[[#This Row],[Recreation and amusement]])</f>
        <v>124.6</v>
      </c>
      <c r="L153" s="5">
        <f>AVERAGE(All_India_Index_Upto_April23__1___1[[#This Row],[Education]])</f>
        <v>133.4</v>
      </c>
      <c r="M153" s="5">
        <f>AVERAGE(All_India_Index_Upto_April23__1___1[[#This Row],[Personal care and effects]])</f>
        <v>122.6</v>
      </c>
      <c r="N153" s="5">
        <f>AVERAGE(All_India_Index_Upto_April23__1___1[[#This Row],[Miscellaneous]])</f>
        <v>124.8</v>
      </c>
      <c r="O153" s="5">
        <f>AVERAGE(All_India_Index_Upto_April23__1___1[[#This Row],[General index]])</f>
        <v>130.6</v>
      </c>
      <c r="P153" s="2">
        <f>AVERAGE(E153:N153)</f>
        <v>129.04679487179487</v>
      </c>
      <c r="R153" s="10">
        <f t="shared" si="33"/>
        <v>102.66401076929957</v>
      </c>
      <c r="S153" s="10">
        <f t="shared" si="34"/>
        <v>111.89739361094415</v>
      </c>
      <c r="T153" s="10">
        <f t="shared" si="35"/>
        <v>104.09660578303439</v>
      </c>
      <c r="U153" s="10">
        <f t="shared" si="36"/>
        <v>99.111334091688079</v>
      </c>
      <c r="V153" s="10">
        <f t="shared" si="37"/>
        <v>99.615027345476946</v>
      </c>
      <c r="W153" s="10">
        <f t="shared" si="38"/>
        <v>90.97475076125238</v>
      </c>
      <c r="X153" s="10">
        <f t="shared" si="39"/>
        <v>96.554122187836839</v>
      </c>
      <c r="Y153" s="10">
        <f t="shared" si="40"/>
        <v>103.37335393144009</v>
      </c>
      <c r="Z153" s="10">
        <f t="shared" si="41"/>
        <v>95.004296791563377</v>
      </c>
    </row>
    <row r="154" spans="1:26" hidden="1" x14ac:dyDescent="0.3">
      <c r="A154" s="6" t="s">
        <v>30</v>
      </c>
      <c r="B154" s="6">
        <v>2017</v>
      </c>
      <c r="C154" s="6" t="s">
        <v>37</v>
      </c>
      <c r="D154" s="21">
        <f t="shared" si="31"/>
        <v>42795</v>
      </c>
      <c r="E154" s="4">
        <f>AVERAGE(All_India_Index_Upto_April23__1___1[[#This Row],[Cereals and products]:[Food and beverages]])</f>
        <v>132.96153846153848</v>
      </c>
      <c r="F154" s="5">
        <f>AVERAGE(All_India_Index_Upto_April23__1___1[[#This Row],[Pan, tobacco and intoxicants]])</f>
        <v>144.19999999999999</v>
      </c>
      <c r="G154" s="4">
        <f>AVERAGE(All_India_Index_Upto_April23__1___1[[#This Row],[Clothing]:[Clothing and footwear]])</f>
        <v>139.53333333333333</v>
      </c>
      <c r="H154" s="5">
        <f>AVERAGE(All_India_Index_Upto_April23__1___1[[#This Row],[Housing]:[Fuel and light]])</f>
        <v>134.19999999999999</v>
      </c>
      <c r="I154" s="5">
        <f>AVERAGE(All_India_Index_Upto_April23__1___1[[#This Row],[Household goods and services]:[Health]])</f>
        <v>132.35</v>
      </c>
      <c r="J154" s="5">
        <f>AVERAGE(All_India_Index_Upto_April23__1___1[[#This Row],[Transport and communication]])</f>
        <v>119.8</v>
      </c>
      <c r="K154" s="5">
        <f>AVERAGE(All_India_Index_Upto_April23__1___1[[#This Row],[Recreation and amusement]])</f>
        <v>128.30000000000001</v>
      </c>
      <c r="L154" s="5">
        <f>AVERAGE(All_India_Index_Upto_April23__1___1[[#This Row],[Education]])</f>
        <v>135.19999999999999</v>
      </c>
      <c r="M154" s="5">
        <f>AVERAGE(All_India_Index_Upto_April23__1___1[[#This Row],[Personal care and effects]])</f>
        <v>123.3</v>
      </c>
      <c r="N154" s="5">
        <f>AVERAGE(All_India_Index_Upto_April23__1___1[[#This Row],[Miscellaneous]])</f>
        <v>127.4</v>
      </c>
      <c r="O154" s="5">
        <f>AVERAGE(All_India_Index_Upto_April23__1___1[[#This Row],[General index]])</f>
        <v>132.80000000000001</v>
      </c>
      <c r="P154" s="2">
        <f t="shared" si="32"/>
        <v>1189.8448717948718</v>
      </c>
      <c r="R154" s="10">
        <f t="shared" si="33"/>
        <v>11.174695257623544</v>
      </c>
      <c r="S154" s="10">
        <f t="shared" si="34"/>
        <v>12.119226919260106</v>
      </c>
      <c r="T154" s="10">
        <f t="shared" si="35"/>
        <v>11.72701892834554</v>
      </c>
      <c r="U154" s="10">
        <f t="shared" si="36"/>
        <v>11.278781224443177</v>
      </c>
      <c r="V154" s="10">
        <f t="shared" si="37"/>
        <v>11.123298770902046</v>
      </c>
      <c r="W154" s="10">
        <f t="shared" si="38"/>
        <v>10.068539423906801</v>
      </c>
      <c r="X154" s="10">
        <f t="shared" si="39"/>
        <v>10.782918264501191</v>
      </c>
      <c r="Y154" s="10">
        <f t="shared" si="40"/>
        <v>11.36282579392487</v>
      </c>
      <c r="Z154" s="10">
        <f t="shared" si="41"/>
        <v>10.362695417092725</v>
      </c>
    </row>
    <row r="155" spans="1:26" hidden="1" x14ac:dyDescent="0.3">
      <c r="A155" s="5" t="s">
        <v>32</v>
      </c>
      <c r="B155" s="5">
        <v>2017</v>
      </c>
      <c r="C155" s="5" t="s">
        <v>37</v>
      </c>
      <c r="D155" s="21">
        <f t="shared" si="31"/>
        <v>42795</v>
      </c>
      <c r="E155" s="4">
        <f>AVERAGE(All_India_Index_Upto_April23__1___1[[#This Row],[Cereals and products]:[Food and beverages]])</f>
        <v>131.2076923076923</v>
      </c>
      <c r="F155" s="5">
        <f>AVERAGE(All_India_Index_Upto_April23__1___1[[#This Row],[Pan, tobacco and intoxicants]])</f>
        <v>147.5</v>
      </c>
      <c r="G155" s="4">
        <f>AVERAGE(All_India_Index_Upto_April23__1___1[[#This Row],[Clothing]:[Clothing and footwear]])</f>
        <v>127.73333333333335</v>
      </c>
      <c r="H155" s="5">
        <f>AVERAGE(All_India_Index_Upto_April23__1___1[[#This Row],[Housing]:[Fuel and light]])</f>
        <v>120.8</v>
      </c>
      <c r="I155" s="5">
        <f>AVERAGE(All_India_Index_Upto_April23__1___1[[#This Row],[Household goods and services]:[Health]])</f>
        <v>124.35</v>
      </c>
      <c r="J155" s="5">
        <f>AVERAGE(All_India_Index_Upto_April23__1___1[[#This Row],[Transport and communication]])</f>
        <v>115.6</v>
      </c>
      <c r="K155" s="5">
        <f>AVERAGE(All_India_Index_Upto_April23__1___1[[#This Row],[Recreation and amusement]])</f>
        <v>122.4</v>
      </c>
      <c r="L155" s="5">
        <f>AVERAGE(All_India_Index_Upto_April23__1___1[[#This Row],[Education]])</f>
        <v>132.80000000000001</v>
      </c>
      <c r="M155" s="5">
        <f>AVERAGE(All_India_Index_Upto_April23__1___1[[#This Row],[Personal care and effects]])</f>
        <v>121.7</v>
      </c>
      <c r="N155" s="5">
        <f>AVERAGE(All_India_Index_Upto_April23__1___1[[#This Row],[Miscellaneous]])</f>
        <v>122.6</v>
      </c>
      <c r="O155" s="5">
        <f>AVERAGE(All_India_Index_Upto_April23__1___1[[#This Row],[General index]])</f>
        <v>128.69999999999999</v>
      </c>
      <c r="P155" s="2">
        <f t="shared" si="32"/>
        <v>1144.0910256410257</v>
      </c>
      <c r="R155" s="10">
        <f t="shared" si="33"/>
        <v>11.468291365556128</v>
      </c>
      <c r="S155" s="10">
        <f t="shared" si="34"/>
        <v>12.892330828078723</v>
      </c>
      <c r="T155" s="10">
        <f t="shared" si="35"/>
        <v>11.16461282106162</v>
      </c>
      <c r="U155" s="10">
        <f t="shared" si="36"/>
        <v>10.558600434114641</v>
      </c>
      <c r="V155" s="10">
        <f t="shared" si="37"/>
        <v>10.868890430315858</v>
      </c>
      <c r="W155" s="10">
        <f t="shared" si="38"/>
        <v>10.104091143904409</v>
      </c>
      <c r="X155" s="10">
        <f t="shared" si="39"/>
        <v>10.698449446487022</v>
      </c>
      <c r="Y155" s="10">
        <f t="shared" si="40"/>
        <v>11.607468026907489</v>
      </c>
      <c r="Z155" s="10">
        <f t="shared" si="41"/>
        <v>10.637265503574106</v>
      </c>
    </row>
    <row r="156" spans="1:26" hidden="1" x14ac:dyDescent="0.3">
      <c r="A156" s="6" t="s">
        <v>34</v>
      </c>
      <c r="B156" s="6">
        <v>2017</v>
      </c>
      <c r="C156" s="6" t="s">
        <v>37</v>
      </c>
      <c r="D156" s="21">
        <f t="shared" si="31"/>
        <v>42795</v>
      </c>
      <c r="E156" s="4">
        <f>AVERAGE(All_India_Index_Upto_April23__1___1[[#This Row],[Cereals and products]:[Food and beverages]])</f>
        <v>132.22307692307692</v>
      </c>
      <c r="F156" s="5">
        <f>AVERAGE(All_India_Index_Upto_April23__1___1[[#This Row],[Pan, tobacco and intoxicants]])</f>
        <v>145.1</v>
      </c>
      <c r="G156" s="4">
        <f>AVERAGE(All_India_Index_Upto_April23__1___1[[#This Row],[Clothing]:[Clothing and footwear]])</f>
        <v>134.76666666666665</v>
      </c>
      <c r="H156" s="5">
        <f>AVERAGE(All_India_Index_Upto_April23__1___1[[#This Row],[Housing]:[Fuel and light]])</f>
        <v>129.1</v>
      </c>
      <c r="I156" s="5">
        <f>AVERAGE(All_India_Index_Upto_April23__1___1[[#This Row],[Household goods and services]:[Health]])</f>
        <v>128.94999999999999</v>
      </c>
      <c r="J156" s="5">
        <f>AVERAGE(All_India_Index_Upto_April23__1___1[[#This Row],[Transport and communication]])</f>
        <v>117.6</v>
      </c>
      <c r="K156" s="5">
        <f>AVERAGE(All_India_Index_Upto_April23__1___1[[#This Row],[Recreation and amusement]])</f>
        <v>125</v>
      </c>
      <c r="L156" s="5">
        <f>AVERAGE(All_India_Index_Upto_April23__1___1[[#This Row],[Education]])</f>
        <v>133.80000000000001</v>
      </c>
      <c r="M156" s="5">
        <f>AVERAGE(All_India_Index_Upto_April23__1___1[[#This Row],[Personal care and effects]])</f>
        <v>122.6</v>
      </c>
      <c r="N156" s="5">
        <f>AVERAGE(All_India_Index_Upto_April23__1___1[[#This Row],[Miscellaneous]])</f>
        <v>125.1</v>
      </c>
      <c r="O156" s="5">
        <f>AVERAGE(All_India_Index_Upto_April23__1___1[[#This Row],[General index]])</f>
        <v>130.9</v>
      </c>
      <c r="P156" s="2">
        <f>AVERAGE(E156:N156)</f>
        <v>129.42397435897436</v>
      </c>
      <c r="R156" s="10">
        <f t="shared" si="33"/>
        <v>102.16273884183072</v>
      </c>
      <c r="S156" s="10">
        <f t="shared" si="34"/>
        <v>112.11214979192815</v>
      </c>
      <c r="T156" s="10">
        <f t="shared" si="35"/>
        <v>104.12805458505983</v>
      </c>
      <c r="U156" s="10">
        <f t="shared" si="36"/>
        <v>99.749679794196567</v>
      </c>
      <c r="V156" s="10">
        <f t="shared" si="37"/>
        <v>99.633781637967829</v>
      </c>
      <c r="W156" s="10">
        <f t="shared" si="38"/>
        <v>90.864154483327013</v>
      </c>
      <c r="X156" s="10">
        <f t="shared" si="39"/>
        <v>96.581796857277851</v>
      </c>
      <c r="Y156" s="10">
        <f t="shared" si="40"/>
        <v>103.38115535603023</v>
      </c>
      <c r="Z156" s="10">
        <f t="shared" si="41"/>
        <v>94.727426357618114</v>
      </c>
    </row>
    <row r="157" spans="1:26" hidden="1" x14ac:dyDescent="0.3">
      <c r="A157" s="5" t="s">
        <v>30</v>
      </c>
      <c r="B157" s="5">
        <v>2017</v>
      </c>
      <c r="C157" s="5" t="s">
        <v>38</v>
      </c>
      <c r="D157" s="21">
        <f t="shared" si="31"/>
        <v>42826</v>
      </c>
      <c r="E157" s="4">
        <f>AVERAGE(All_India_Index_Upto_April23__1___1[[#This Row],[Cereals and products]:[Food and beverages]])</f>
        <v>132.7923076923077</v>
      </c>
      <c r="F157" s="5">
        <f>AVERAGE(All_India_Index_Upto_April23__1___1[[#This Row],[Pan, tobacco and intoxicants]])</f>
        <v>144.4</v>
      </c>
      <c r="G157" s="4">
        <f>AVERAGE(All_India_Index_Upto_April23__1___1[[#This Row],[Clothing]:[Clothing and footwear]])</f>
        <v>140.26666666666668</v>
      </c>
      <c r="H157" s="5">
        <f>AVERAGE(All_India_Index_Upto_April23__1___1[[#This Row],[Housing]:[Fuel and light]])</f>
        <v>135</v>
      </c>
      <c r="I157" s="5">
        <f>AVERAGE(All_India_Index_Upto_April23__1___1[[#This Row],[Household goods and services]:[Health]])</f>
        <v>132.65</v>
      </c>
      <c r="J157" s="5">
        <f>AVERAGE(All_India_Index_Upto_April23__1___1[[#This Row],[Transport and communication]])</f>
        <v>119.2</v>
      </c>
      <c r="K157" s="5">
        <f>AVERAGE(All_India_Index_Upto_April23__1___1[[#This Row],[Recreation and amusement]])</f>
        <v>128.30000000000001</v>
      </c>
      <c r="L157" s="5">
        <f>AVERAGE(All_India_Index_Upto_April23__1___1[[#This Row],[Education]])</f>
        <v>135.69999999999999</v>
      </c>
      <c r="M157" s="5">
        <f>AVERAGE(All_India_Index_Upto_April23__1___1[[#This Row],[Personal care and effects]])</f>
        <v>123.7</v>
      </c>
      <c r="N157" s="5">
        <f>AVERAGE(All_India_Index_Upto_April23__1___1[[#This Row],[Miscellaneous]])</f>
        <v>127.5</v>
      </c>
      <c r="O157" s="5">
        <f>AVERAGE(All_India_Index_Upto_April23__1___1[[#This Row],[General index]])</f>
        <v>132.9</v>
      </c>
      <c r="P157" s="2">
        <f t="shared" si="32"/>
        <v>1192.0089743589745</v>
      </c>
      <c r="R157" s="10">
        <f t="shared" si="33"/>
        <v>11.140210396798338</v>
      </c>
      <c r="S157" s="10">
        <f t="shared" si="34"/>
        <v>12.114002755529073</v>
      </c>
      <c r="T157" s="10">
        <f t="shared" si="35"/>
        <v>11.767249214050402</v>
      </c>
      <c r="U157" s="10">
        <f t="shared" si="36"/>
        <v>11.3254180886179</v>
      </c>
      <c r="V157" s="10">
        <f t="shared" si="37"/>
        <v>11.128271921890107</v>
      </c>
      <c r="W157" s="10">
        <f t="shared" si="38"/>
        <v>9.9999247123203983</v>
      </c>
      <c r="X157" s="10">
        <f t="shared" si="39"/>
        <v>10.763341783479087</v>
      </c>
      <c r="Y157" s="10">
        <f t="shared" si="40"/>
        <v>11.38414247870703</v>
      </c>
      <c r="Z157" s="10">
        <f t="shared" si="41"/>
        <v>10.377438648607662</v>
      </c>
    </row>
    <row r="158" spans="1:26" hidden="1" x14ac:dyDescent="0.3">
      <c r="A158" s="6" t="s">
        <v>32</v>
      </c>
      <c r="B158" s="6">
        <v>2017</v>
      </c>
      <c r="C158" s="6" t="s">
        <v>38</v>
      </c>
      <c r="D158" s="21">
        <f t="shared" si="31"/>
        <v>42826</v>
      </c>
      <c r="E158" s="4">
        <f>AVERAGE(All_India_Index_Upto_April23__1___1[[#This Row],[Cereals and products]:[Food and beverages]])</f>
        <v>131.3923076923077</v>
      </c>
      <c r="F158" s="5">
        <f>AVERAGE(All_India_Index_Upto_April23__1___1[[#This Row],[Pan, tobacco and intoxicants]])</f>
        <v>148</v>
      </c>
      <c r="G158" s="4">
        <f>AVERAGE(All_India_Index_Upto_April23__1___1[[#This Row],[Clothing]:[Clothing and footwear]])</f>
        <v>128.06666666666666</v>
      </c>
      <c r="H158" s="5">
        <f>AVERAGE(All_India_Index_Upto_April23__1___1[[#This Row],[Housing]:[Fuel and light]])</f>
        <v>121.4</v>
      </c>
      <c r="I158" s="5">
        <f>AVERAGE(All_India_Index_Upto_April23__1___1[[#This Row],[Household goods and services]:[Health]])</f>
        <v>124.7</v>
      </c>
      <c r="J158" s="5">
        <f>AVERAGE(All_India_Index_Upto_April23__1___1[[#This Row],[Transport and communication]])</f>
        <v>114.3</v>
      </c>
      <c r="K158" s="5">
        <f>AVERAGE(All_India_Index_Upto_April23__1___1[[#This Row],[Recreation and amusement]])</f>
        <v>122.6</v>
      </c>
      <c r="L158" s="5">
        <f>AVERAGE(All_India_Index_Upto_April23__1___1[[#This Row],[Education]])</f>
        <v>133.6</v>
      </c>
      <c r="M158" s="5">
        <f>AVERAGE(All_India_Index_Upto_April23__1___1[[#This Row],[Personal care and effects]])</f>
        <v>122.2</v>
      </c>
      <c r="N158" s="5">
        <f>AVERAGE(All_India_Index_Upto_April23__1___1[[#This Row],[Miscellaneous]])</f>
        <v>122.5</v>
      </c>
      <c r="O158" s="5">
        <f>AVERAGE(All_India_Index_Upto_April23__1___1[[#This Row],[General index]])</f>
        <v>129.1</v>
      </c>
      <c r="P158" s="2">
        <f t="shared" si="32"/>
        <v>1146.2589743589745</v>
      </c>
      <c r="R158" s="10">
        <f t="shared" si="33"/>
        <v>11.462707000029079</v>
      </c>
      <c r="S158" s="10">
        <f t="shared" si="34"/>
        <v>12.911567395384315</v>
      </c>
      <c r="T158" s="10">
        <f t="shared" si="35"/>
        <v>11.172577011951923</v>
      </c>
      <c r="U158" s="10">
        <f t="shared" si="36"/>
        <v>10.590974877024701</v>
      </c>
      <c r="V158" s="10">
        <f t="shared" si="37"/>
        <v>10.878867933813677</v>
      </c>
      <c r="W158" s="10">
        <f t="shared" si="38"/>
        <v>9.97156860332721</v>
      </c>
      <c r="X158" s="10">
        <f t="shared" si="39"/>
        <v>10.695663261311601</v>
      </c>
      <c r="Y158" s="10">
        <f t="shared" si="40"/>
        <v>11.655306783941516</v>
      </c>
      <c r="Z158" s="10">
        <f t="shared" si="41"/>
        <v>10.66076713321597</v>
      </c>
    </row>
    <row r="159" spans="1:26" hidden="1" x14ac:dyDescent="0.3">
      <c r="A159" s="5" t="s">
        <v>34</v>
      </c>
      <c r="B159" s="5">
        <v>2017</v>
      </c>
      <c r="C159" s="5" t="s">
        <v>38</v>
      </c>
      <c r="D159" s="21">
        <f t="shared" si="31"/>
        <v>42826</v>
      </c>
      <c r="E159" s="4">
        <f>AVERAGE(All_India_Index_Upto_April23__1___1[[#This Row],[Cereals and products]:[Food and beverages]])</f>
        <v>132.1846153846154</v>
      </c>
      <c r="F159" s="5">
        <f>AVERAGE(All_India_Index_Upto_April23__1___1[[#This Row],[Pan, tobacco and intoxicants]])</f>
        <v>145.4</v>
      </c>
      <c r="G159" s="4">
        <f>AVERAGE(All_India_Index_Upto_April23__1___1[[#This Row],[Clothing]:[Clothing and footwear]])</f>
        <v>135.36666666666667</v>
      </c>
      <c r="H159" s="5">
        <f>AVERAGE(All_India_Index_Upto_April23__1___1[[#This Row],[Housing]:[Fuel and light]])</f>
        <v>129.80000000000001</v>
      </c>
      <c r="I159" s="5">
        <f>AVERAGE(All_India_Index_Upto_April23__1___1[[#This Row],[Household goods and services]:[Health]])</f>
        <v>129.25</v>
      </c>
      <c r="J159" s="5">
        <f>AVERAGE(All_India_Index_Upto_April23__1___1[[#This Row],[Transport and communication]])</f>
        <v>116.6</v>
      </c>
      <c r="K159" s="5">
        <f>AVERAGE(All_India_Index_Upto_April23__1___1[[#This Row],[Recreation and amusement]])</f>
        <v>125.1</v>
      </c>
      <c r="L159" s="5">
        <f>AVERAGE(All_India_Index_Upto_April23__1___1[[#This Row],[Education]])</f>
        <v>134.5</v>
      </c>
      <c r="M159" s="5">
        <f>AVERAGE(All_India_Index_Upto_April23__1___1[[#This Row],[Personal care and effects]])</f>
        <v>123.1</v>
      </c>
      <c r="N159" s="5">
        <f>AVERAGE(All_India_Index_Upto_April23__1___1[[#This Row],[Miscellaneous]])</f>
        <v>125.1</v>
      </c>
      <c r="O159" s="5">
        <f>AVERAGE(All_India_Index_Upto_April23__1___1[[#This Row],[General index]])</f>
        <v>131.1</v>
      </c>
      <c r="P159" s="2">
        <f>AVERAGE(E159:N159)</f>
        <v>129.64012820512818</v>
      </c>
      <c r="R159" s="10">
        <f t="shared" si="33"/>
        <v>101.96273115023544</v>
      </c>
      <c r="S159" s="10">
        <f t="shared" si="34"/>
        <v>112.15663083110745</v>
      </c>
      <c r="T159" s="10">
        <f t="shared" si="35"/>
        <v>104.41725763528824</v>
      </c>
      <c r="U159" s="10">
        <f t="shared" si="36"/>
        <v>100.12331968279055</v>
      </c>
      <c r="V159" s="10">
        <f t="shared" si="37"/>
        <v>99.699068328202458</v>
      </c>
      <c r="W159" s="10">
        <f t="shared" si="38"/>
        <v>89.941287172676255</v>
      </c>
      <c r="X159" s="10">
        <f t="shared" si="39"/>
        <v>96.497899016310456</v>
      </c>
      <c r="Y159" s="10">
        <f t="shared" si="40"/>
        <v>103.74874034927063</v>
      </c>
      <c r="Z159" s="10">
        <f t="shared" si="41"/>
        <v>94.955166817808291</v>
      </c>
    </row>
    <row r="160" spans="1:26" hidden="1" x14ac:dyDescent="0.3">
      <c r="A160" s="6" t="s">
        <v>30</v>
      </c>
      <c r="B160" s="6">
        <v>2017</v>
      </c>
      <c r="C160" s="6" t="s">
        <v>40</v>
      </c>
      <c r="D160" s="21">
        <f t="shared" si="31"/>
        <v>42856</v>
      </c>
      <c r="E160" s="4">
        <f>AVERAGE(All_India_Index_Upto_April23__1___1[[#This Row],[Cereals and products]:[Food and beverages]])</f>
        <v>132.88461538461536</v>
      </c>
      <c r="F160" s="5">
        <f>AVERAGE(All_India_Index_Upto_April23__1___1[[#This Row],[Pan, tobacco and intoxicants]])</f>
        <v>145.5</v>
      </c>
      <c r="G160" s="4">
        <f>AVERAGE(All_India_Index_Upto_April23__1___1[[#This Row],[Clothing]:[Clothing and footwear]])</f>
        <v>140.53333333333333</v>
      </c>
      <c r="H160" s="5">
        <f>AVERAGE(All_India_Index_Upto_April23__1___1[[#This Row],[Housing]:[Fuel and light]])</f>
        <v>135</v>
      </c>
      <c r="I160" s="5">
        <f>AVERAGE(All_India_Index_Upto_April23__1___1[[#This Row],[Household goods and services]:[Health]])</f>
        <v>133.15</v>
      </c>
      <c r="J160" s="5">
        <f>AVERAGE(All_India_Index_Upto_April23__1___1[[#This Row],[Transport and communication]])</f>
        <v>119.4</v>
      </c>
      <c r="K160" s="5">
        <f>AVERAGE(All_India_Index_Upto_April23__1___1[[#This Row],[Recreation and amusement]])</f>
        <v>129.4</v>
      </c>
      <c r="L160" s="5">
        <f>AVERAGE(All_India_Index_Upto_April23__1___1[[#This Row],[Education]])</f>
        <v>136.30000000000001</v>
      </c>
      <c r="M160" s="5">
        <f>AVERAGE(All_India_Index_Upto_April23__1___1[[#This Row],[Personal care and effects]])</f>
        <v>123.7</v>
      </c>
      <c r="N160" s="5">
        <f>AVERAGE(All_India_Index_Upto_April23__1___1[[#This Row],[Miscellaneous]])</f>
        <v>127.9</v>
      </c>
      <c r="O160" s="5">
        <f>AVERAGE(All_India_Index_Upto_April23__1___1[[#This Row],[General index]])</f>
        <v>133.30000000000001</v>
      </c>
      <c r="P160" s="2">
        <f t="shared" si="32"/>
        <v>1195.8679487179486</v>
      </c>
      <c r="R160" s="10">
        <f t="shared" si="33"/>
        <v>11.111980677053571</v>
      </c>
      <c r="S160" s="10">
        <f t="shared" si="34"/>
        <v>12.166895195743464</v>
      </c>
      <c r="T160" s="10">
        <f t="shared" si="35"/>
        <v>11.751576207389334</v>
      </c>
      <c r="U160" s="10">
        <f t="shared" si="36"/>
        <v>11.288871831102183</v>
      </c>
      <c r="V160" s="10">
        <f t="shared" si="37"/>
        <v>11.134172476379673</v>
      </c>
      <c r="W160" s="10">
        <f t="shared" si="38"/>
        <v>9.9843799750637086</v>
      </c>
      <c r="X160" s="10">
        <f t="shared" si="39"/>
        <v>10.820592703293501</v>
      </c>
      <c r="Y160" s="10">
        <f t="shared" si="40"/>
        <v>11.397579485772056</v>
      </c>
      <c r="Z160" s="10">
        <f t="shared" si="41"/>
        <v>10.343951448202519</v>
      </c>
    </row>
    <row r="161" spans="1:26" hidden="1" x14ac:dyDescent="0.3">
      <c r="A161" s="5" t="s">
        <v>32</v>
      </c>
      <c r="B161" s="5">
        <v>2017</v>
      </c>
      <c r="C161" s="5" t="s">
        <v>40</v>
      </c>
      <c r="D161" s="21">
        <f t="shared" si="31"/>
        <v>42856</v>
      </c>
      <c r="E161" s="4">
        <f>AVERAGE(All_India_Index_Upto_April23__1___1[[#This Row],[Cereals and products]:[Food and beverages]])</f>
        <v>131.50769230769231</v>
      </c>
      <c r="F161" s="5">
        <f>AVERAGE(All_India_Index_Upto_April23__1___1[[#This Row],[Pan, tobacco and intoxicants]])</f>
        <v>148.30000000000001</v>
      </c>
      <c r="G161" s="4">
        <f>AVERAGE(All_India_Index_Upto_April23__1___1[[#This Row],[Clothing]:[Clothing and footwear]])</f>
        <v>128.29999999999998</v>
      </c>
      <c r="H161" s="5">
        <f>AVERAGE(All_India_Index_Upto_April23__1___1[[#This Row],[Housing]:[Fuel and light]])</f>
        <v>120.1</v>
      </c>
      <c r="I161" s="5">
        <f>AVERAGE(All_India_Index_Upto_April23__1___1[[#This Row],[Household goods and services]:[Health]])</f>
        <v>125.05</v>
      </c>
      <c r="J161" s="5">
        <f>AVERAGE(All_India_Index_Upto_April23__1___1[[#This Row],[Transport and communication]])</f>
        <v>114.3</v>
      </c>
      <c r="K161" s="5">
        <f>AVERAGE(All_India_Index_Upto_April23__1___1[[#This Row],[Recreation and amusement]])</f>
        <v>122.8</v>
      </c>
      <c r="L161" s="5">
        <f>AVERAGE(All_India_Index_Upto_April23__1___1[[#This Row],[Education]])</f>
        <v>133.80000000000001</v>
      </c>
      <c r="M161" s="5">
        <f>AVERAGE(All_India_Index_Upto_April23__1___1[[#This Row],[Personal care and effects]])</f>
        <v>122</v>
      </c>
      <c r="N161" s="5">
        <f>AVERAGE(All_India_Index_Upto_April23__1___1[[#This Row],[Miscellaneous]])</f>
        <v>122.6</v>
      </c>
      <c r="O161" s="5">
        <f>AVERAGE(All_India_Index_Upto_April23__1___1[[#This Row],[General index]])</f>
        <v>129.30000000000001</v>
      </c>
      <c r="P161" s="2">
        <f t="shared" si="32"/>
        <v>1146.1576923076923</v>
      </c>
      <c r="R161" s="10">
        <f t="shared" si="33"/>
        <v>11.473787000714763</v>
      </c>
      <c r="S161" s="10">
        <f t="shared" si="34"/>
        <v>12.938882755426997</v>
      </c>
      <c r="T161" s="10">
        <f t="shared" si="35"/>
        <v>11.193922168046415</v>
      </c>
      <c r="U161" s="10">
        <f t="shared" si="36"/>
        <v>10.478488327220377</v>
      </c>
      <c r="V161" s="10">
        <f t="shared" si="37"/>
        <v>10.910366072597071</v>
      </c>
      <c r="W161" s="10">
        <f t="shared" si="38"/>
        <v>9.9724497568800103</v>
      </c>
      <c r="X161" s="10">
        <f t="shared" si="39"/>
        <v>10.714058006516757</v>
      </c>
      <c r="Y161" s="10">
        <f t="shared" si="40"/>
        <v>11.673786329576076</v>
      </c>
      <c r="Z161" s="10">
        <f t="shared" si="41"/>
        <v>10.644259583021535</v>
      </c>
    </row>
    <row r="162" spans="1:26" hidden="1" x14ac:dyDescent="0.3">
      <c r="A162" s="6" t="s">
        <v>34</v>
      </c>
      <c r="B162" s="6">
        <v>2017</v>
      </c>
      <c r="C162" s="6" t="s">
        <v>40</v>
      </c>
      <c r="D162" s="21">
        <f t="shared" si="31"/>
        <v>42856</v>
      </c>
      <c r="E162" s="4">
        <f>AVERAGE(All_India_Index_Upto_April23__1___1[[#This Row],[Cereals and products]:[Food and beverages]])</f>
        <v>132.27692307692308</v>
      </c>
      <c r="F162" s="5">
        <f>AVERAGE(All_India_Index_Upto_April23__1___1[[#This Row],[Pan, tobacco and intoxicants]])</f>
        <v>146.19999999999999</v>
      </c>
      <c r="G162" s="4">
        <f>AVERAGE(All_India_Index_Upto_April23__1___1[[#This Row],[Clothing]:[Clothing and footwear]])</f>
        <v>135.6</v>
      </c>
      <c r="H162" s="5">
        <f>AVERAGE(All_India_Index_Upto_April23__1___1[[#This Row],[Housing]:[Fuel and light]])</f>
        <v>129.4</v>
      </c>
      <c r="I162" s="5">
        <f>AVERAGE(All_India_Index_Upto_April23__1___1[[#This Row],[Household goods and services]:[Health]])</f>
        <v>129.65</v>
      </c>
      <c r="J162" s="5">
        <f>AVERAGE(All_India_Index_Upto_April23__1___1[[#This Row],[Transport and communication]])</f>
        <v>116.7</v>
      </c>
      <c r="K162" s="5">
        <f>AVERAGE(All_India_Index_Upto_April23__1___1[[#This Row],[Recreation and amusement]])</f>
        <v>125.7</v>
      </c>
      <c r="L162" s="5">
        <f>AVERAGE(All_India_Index_Upto_April23__1___1[[#This Row],[Education]])</f>
        <v>134.80000000000001</v>
      </c>
      <c r="M162" s="5">
        <f>AVERAGE(All_India_Index_Upto_April23__1___1[[#This Row],[Personal care and effects]])</f>
        <v>123</v>
      </c>
      <c r="N162" s="5">
        <f>AVERAGE(All_India_Index_Upto_April23__1___1[[#This Row],[Miscellaneous]])</f>
        <v>125.3</v>
      </c>
      <c r="O162" s="5">
        <f>AVERAGE(All_India_Index_Upto_April23__1___1[[#This Row],[General index]])</f>
        <v>131.4</v>
      </c>
      <c r="P162" s="2">
        <f>AVERAGE(E162:N162)</f>
        <v>129.8626923076923</v>
      </c>
      <c r="R162" s="10">
        <f t="shared" si="33"/>
        <v>101.85906415948207</v>
      </c>
      <c r="S162" s="10">
        <f t="shared" si="34"/>
        <v>112.580447395622</v>
      </c>
      <c r="T162" s="10">
        <f t="shared" si="35"/>
        <v>104.4179799373895</v>
      </c>
      <c r="U162" s="10">
        <f t="shared" si="36"/>
        <v>99.643706518423315</v>
      </c>
      <c r="V162" s="10">
        <f t="shared" si="37"/>
        <v>99.836217543381636</v>
      </c>
      <c r="W162" s="10">
        <f t="shared" si="38"/>
        <v>89.864146450540957</v>
      </c>
      <c r="X162" s="10">
        <f t="shared" si="39"/>
        <v>96.794543349040268</v>
      </c>
      <c r="Y162" s="10">
        <f t="shared" si="40"/>
        <v>103.80194465752291</v>
      </c>
      <c r="Z162" s="10">
        <f t="shared" si="41"/>
        <v>94.715424279490477</v>
      </c>
    </row>
    <row r="163" spans="1:26" hidden="1" x14ac:dyDescent="0.3">
      <c r="A163" s="5" t="s">
        <v>30</v>
      </c>
      <c r="B163" s="5">
        <v>2017</v>
      </c>
      <c r="C163" s="5" t="s">
        <v>41</v>
      </c>
      <c r="D163" s="21">
        <f t="shared" si="31"/>
        <v>42887</v>
      </c>
      <c r="E163" s="4">
        <f>AVERAGE(All_India_Index_Upto_April23__1___1[[#This Row],[Cereals and products]:[Food and beverages]])</f>
        <v>133.75384615384615</v>
      </c>
      <c r="F163" s="5">
        <f>AVERAGE(All_India_Index_Upto_April23__1___1[[#This Row],[Pan, tobacco and intoxicants]])</f>
        <v>145.80000000000001</v>
      </c>
      <c r="G163" s="4">
        <f>AVERAGE(All_India_Index_Upto_April23__1___1[[#This Row],[Clothing]:[Clothing and footwear]])</f>
        <v>141.03333333333333</v>
      </c>
      <c r="H163" s="5">
        <f>AVERAGE(All_India_Index_Upto_April23__1___1[[#This Row],[Housing]:[Fuel and light]])</f>
        <v>134.80000000000001</v>
      </c>
      <c r="I163" s="5">
        <f>AVERAGE(All_India_Index_Upto_April23__1___1[[#This Row],[Household goods and services]:[Health]])</f>
        <v>133.25</v>
      </c>
      <c r="J163" s="5">
        <f>AVERAGE(All_India_Index_Upto_April23__1___1[[#This Row],[Transport and communication]])</f>
        <v>119.4</v>
      </c>
      <c r="K163" s="5">
        <f>AVERAGE(All_India_Index_Upto_April23__1___1[[#This Row],[Recreation and amusement]])</f>
        <v>129.80000000000001</v>
      </c>
      <c r="L163" s="5">
        <f>AVERAGE(All_India_Index_Upto_April23__1___1[[#This Row],[Education]])</f>
        <v>136.9</v>
      </c>
      <c r="M163" s="5">
        <f>AVERAGE(All_India_Index_Upto_April23__1___1[[#This Row],[Personal care and effects]])</f>
        <v>124.1</v>
      </c>
      <c r="N163" s="5">
        <f>AVERAGE(All_India_Index_Upto_April23__1___1[[#This Row],[Miscellaneous]])</f>
        <v>128.1</v>
      </c>
      <c r="O163" s="5">
        <f>AVERAGE(All_India_Index_Upto_April23__1___1[[#This Row],[General index]])</f>
        <v>133.9</v>
      </c>
      <c r="P163" s="2">
        <f t="shared" si="32"/>
        <v>1198.8371794871796</v>
      </c>
      <c r="R163" s="10">
        <f t="shared" si="33"/>
        <v>11.156965136088068</v>
      </c>
      <c r="S163" s="10">
        <f t="shared" si="34"/>
        <v>12.161784977536993</v>
      </c>
      <c r="T163" s="10">
        <f t="shared" si="35"/>
        <v>11.764177466840195</v>
      </c>
      <c r="U163" s="10">
        <f t="shared" si="36"/>
        <v>11.244229183621309</v>
      </c>
      <c r="V163" s="10">
        <f t="shared" si="37"/>
        <v>11.114937230842278</v>
      </c>
      <c r="W163" s="10">
        <f t="shared" si="38"/>
        <v>9.9596510721393479</v>
      </c>
      <c r="X163" s="10">
        <f t="shared" si="39"/>
        <v>10.827158368205088</v>
      </c>
      <c r="Y163" s="10">
        <f t="shared" si="40"/>
        <v>11.41939892609612</v>
      </c>
      <c r="Z163" s="10">
        <f t="shared" si="41"/>
        <v>10.351697638630593</v>
      </c>
    </row>
    <row r="164" spans="1:26" hidden="1" x14ac:dyDescent="0.3">
      <c r="A164" s="6" t="s">
        <v>32</v>
      </c>
      <c r="B164" s="6">
        <v>2017</v>
      </c>
      <c r="C164" s="6" t="s">
        <v>41</v>
      </c>
      <c r="D164" s="21">
        <f t="shared" si="31"/>
        <v>42887</v>
      </c>
      <c r="E164" s="4">
        <f>AVERAGE(All_India_Index_Upto_April23__1___1[[#This Row],[Cereals and products]:[Food and beverages]])</f>
        <v>133.15384615384616</v>
      </c>
      <c r="F164" s="5">
        <f>AVERAGE(All_India_Index_Upto_April23__1___1[[#This Row],[Pan, tobacco and intoxicants]])</f>
        <v>148.6</v>
      </c>
      <c r="G164" s="4">
        <f>AVERAGE(All_India_Index_Upto_April23__1___1[[#This Row],[Clothing]:[Clothing and footwear]])</f>
        <v>128.29999999999998</v>
      </c>
      <c r="H164" s="5">
        <f>AVERAGE(All_India_Index_Upto_April23__1___1[[#This Row],[Housing]:[Fuel and light]])</f>
        <v>119</v>
      </c>
      <c r="I164" s="5">
        <f>AVERAGE(All_India_Index_Upto_April23__1___1[[#This Row],[Household goods and services]:[Health]])</f>
        <v>125.3</v>
      </c>
      <c r="J164" s="5">
        <f>AVERAGE(All_India_Index_Upto_April23__1___1[[#This Row],[Transport and communication]])</f>
        <v>113.9</v>
      </c>
      <c r="K164" s="5">
        <f>AVERAGE(All_India_Index_Upto_April23__1___1[[#This Row],[Recreation and amusement]])</f>
        <v>122.9</v>
      </c>
      <c r="L164" s="5">
        <f>AVERAGE(All_India_Index_Upto_April23__1___1[[#This Row],[Education]])</f>
        <v>134.30000000000001</v>
      </c>
      <c r="M164" s="5">
        <f>AVERAGE(All_India_Index_Upto_April23__1___1[[#This Row],[Personal care and effects]])</f>
        <v>122.5</v>
      </c>
      <c r="N164" s="5">
        <f>AVERAGE(All_India_Index_Upto_April23__1___1[[#This Row],[Miscellaneous]])</f>
        <v>122.7</v>
      </c>
      <c r="O164" s="5">
        <f>AVERAGE(All_India_Index_Upto_April23__1___1[[#This Row],[General index]])</f>
        <v>129.9</v>
      </c>
      <c r="P164" s="2">
        <f t="shared" si="32"/>
        <v>1147.9538461538461</v>
      </c>
      <c r="R164" s="10">
        <f t="shared" si="33"/>
        <v>11.599233418657947</v>
      </c>
      <c r="S164" s="10">
        <f t="shared" si="34"/>
        <v>12.944771298765698</v>
      </c>
      <c r="T164" s="10">
        <f t="shared" si="35"/>
        <v>11.176407521074285</v>
      </c>
      <c r="U164" s="10">
        <f t="shared" si="36"/>
        <v>10.36627042094965</v>
      </c>
      <c r="V164" s="10">
        <f t="shared" si="37"/>
        <v>10.915072972646984</v>
      </c>
      <c r="W164" s="10">
        <f t="shared" si="38"/>
        <v>9.9220016886232365</v>
      </c>
      <c r="X164" s="10">
        <f t="shared" si="39"/>
        <v>10.706005333905143</v>
      </c>
      <c r="Y164" s="10">
        <f t="shared" si="40"/>
        <v>11.699076617928892</v>
      </c>
      <c r="Z164" s="10">
        <f t="shared" si="41"/>
        <v>10.671160727448168</v>
      </c>
    </row>
    <row r="165" spans="1:26" hidden="1" x14ac:dyDescent="0.3">
      <c r="A165" s="5" t="s">
        <v>34</v>
      </c>
      <c r="B165" s="5">
        <v>2017</v>
      </c>
      <c r="C165" s="5" t="s">
        <v>41</v>
      </c>
      <c r="D165" s="21">
        <f t="shared" si="31"/>
        <v>42887</v>
      </c>
      <c r="E165" s="4">
        <f>AVERAGE(All_India_Index_Upto_April23__1___1[[#This Row],[Cereals and products]:[Food and beverages]])</f>
        <v>133.43846153846155</v>
      </c>
      <c r="F165" s="5">
        <f>AVERAGE(All_India_Index_Upto_April23__1___1[[#This Row],[Pan, tobacco and intoxicants]])</f>
        <v>146.5</v>
      </c>
      <c r="G165" s="4">
        <f>AVERAGE(All_India_Index_Upto_April23__1___1[[#This Row],[Clothing]:[Clothing and footwear]])</f>
        <v>135.9</v>
      </c>
      <c r="H165" s="5">
        <f>AVERAGE(All_India_Index_Upto_April23__1___1[[#This Row],[Housing]:[Fuel and light]])</f>
        <v>128.80000000000001</v>
      </c>
      <c r="I165" s="5">
        <f>AVERAGE(All_India_Index_Upto_April23__1___1[[#This Row],[Household goods and services]:[Health]])</f>
        <v>129.85</v>
      </c>
      <c r="J165" s="5">
        <f>AVERAGE(All_India_Index_Upto_April23__1___1[[#This Row],[Transport and communication]])</f>
        <v>116.5</v>
      </c>
      <c r="K165" s="5">
        <f>AVERAGE(All_India_Index_Upto_April23__1___1[[#This Row],[Recreation and amusement]])</f>
        <v>125.9</v>
      </c>
      <c r="L165" s="5">
        <f>AVERAGE(All_India_Index_Upto_April23__1___1[[#This Row],[Education]])</f>
        <v>135.4</v>
      </c>
      <c r="M165" s="5">
        <f>AVERAGE(All_India_Index_Upto_April23__1___1[[#This Row],[Personal care and effects]])</f>
        <v>123.4</v>
      </c>
      <c r="N165" s="5">
        <f>AVERAGE(All_India_Index_Upto_April23__1___1[[#This Row],[Miscellaneous]])</f>
        <v>125.5</v>
      </c>
      <c r="O165" s="5">
        <f>AVERAGE(All_India_Index_Upto_April23__1___1[[#This Row],[General index]])</f>
        <v>132</v>
      </c>
      <c r="P165" s="2">
        <f>AVERAGE(E165:N165)</f>
        <v>130.11884615384616</v>
      </c>
      <c r="R165" s="10">
        <f t="shared" si="33"/>
        <v>102.55121796937119</v>
      </c>
      <c r="S165" s="10">
        <f t="shared" si="34"/>
        <v>112.5893783493788</v>
      </c>
      <c r="T165" s="10">
        <f t="shared" si="35"/>
        <v>104.44297964287085</v>
      </c>
      <c r="U165" s="10">
        <f t="shared" si="36"/>
        <v>98.986429565870253</v>
      </c>
      <c r="V165" s="10">
        <f t="shared" si="37"/>
        <v>99.793384154722446</v>
      </c>
      <c r="W165" s="10">
        <f t="shared" si="38"/>
        <v>89.533532953601579</v>
      </c>
      <c r="X165" s="10">
        <f t="shared" si="39"/>
        <v>96.757697844278454</v>
      </c>
      <c r="Y165" s="10">
        <f t="shared" si="40"/>
        <v>104.05871555294124</v>
      </c>
      <c r="Z165" s="10">
        <f t="shared" si="41"/>
        <v>94.836377394630347</v>
      </c>
    </row>
    <row r="166" spans="1:26" hidden="1" x14ac:dyDescent="0.3">
      <c r="A166" s="6" t="s">
        <v>30</v>
      </c>
      <c r="B166" s="6">
        <v>2017</v>
      </c>
      <c r="C166" s="6" t="s">
        <v>43</v>
      </c>
      <c r="D166" s="21">
        <f t="shared" si="31"/>
        <v>42917</v>
      </c>
      <c r="E166" s="4">
        <f>AVERAGE(All_India_Index_Upto_April23__1___1[[#This Row],[Cereals and products]:[Food and beverages]])</f>
        <v>136.37692307692308</v>
      </c>
      <c r="F166" s="5">
        <f>AVERAGE(All_India_Index_Upto_April23__1___1[[#This Row],[Pan, tobacco and intoxicants]])</f>
        <v>147.4</v>
      </c>
      <c r="G166" s="4">
        <f>AVERAGE(All_India_Index_Upto_April23__1___1[[#This Row],[Clothing]:[Clothing and footwear]])</f>
        <v>141.96666666666667</v>
      </c>
      <c r="H166" s="5">
        <f>AVERAGE(All_India_Index_Upto_April23__1___1[[#This Row],[Housing]:[Fuel and light]])</f>
        <v>135.30000000000001</v>
      </c>
      <c r="I166" s="5">
        <f>AVERAGE(All_India_Index_Upto_April23__1___1[[#This Row],[Household goods and services]:[Health]])</f>
        <v>134.1</v>
      </c>
      <c r="J166" s="5">
        <f>AVERAGE(All_India_Index_Upto_April23__1___1[[#This Row],[Transport and communication]])</f>
        <v>119.1</v>
      </c>
      <c r="K166" s="5">
        <f>AVERAGE(All_India_Index_Upto_April23__1___1[[#This Row],[Recreation and amusement]])</f>
        <v>130.6</v>
      </c>
      <c r="L166" s="5">
        <f>AVERAGE(All_India_Index_Upto_April23__1___1[[#This Row],[Education]])</f>
        <v>138.6</v>
      </c>
      <c r="M166" s="5">
        <f>AVERAGE(All_India_Index_Upto_April23__1___1[[#This Row],[Personal care and effects]])</f>
        <v>124.4</v>
      </c>
      <c r="N166" s="5">
        <f>AVERAGE(All_India_Index_Upto_April23__1___1[[#This Row],[Miscellaneous]])</f>
        <v>128.6</v>
      </c>
      <c r="O166" s="5">
        <f>AVERAGE(All_India_Index_Upto_April23__1___1[[#This Row],[General index]])</f>
        <v>136.19999999999999</v>
      </c>
      <c r="P166" s="2">
        <f t="shared" si="32"/>
        <v>1207.84358974359</v>
      </c>
      <c r="R166" s="10">
        <f t="shared" si="33"/>
        <v>11.290942323573054</v>
      </c>
      <c r="S166" s="10">
        <f t="shared" si="34"/>
        <v>12.203566856805621</v>
      </c>
      <c r="T166" s="10">
        <f t="shared" si="35"/>
        <v>11.753729362988498</v>
      </c>
      <c r="U166" s="10">
        <f t="shared" si="36"/>
        <v>11.201781517814116</v>
      </c>
      <c r="V166" s="10">
        <f t="shared" si="37"/>
        <v>11.102430905682725</v>
      </c>
      <c r="W166" s="10">
        <f t="shared" si="38"/>
        <v>9.8605482540403617</v>
      </c>
      <c r="X166" s="10">
        <f t="shared" si="39"/>
        <v>10.812658286966172</v>
      </c>
      <c r="Y166" s="10">
        <f t="shared" si="40"/>
        <v>11.474995701175434</v>
      </c>
      <c r="Z166" s="10">
        <f t="shared" si="41"/>
        <v>10.299346790953997</v>
      </c>
    </row>
    <row r="167" spans="1:26" hidden="1" x14ac:dyDescent="0.3">
      <c r="A167" s="5" t="s">
        <v>32</v>
      </c>
      <c r="B167" s="5">
        <v>2017</v>
      </c>
      <c r="C167" s="5" t="s">
        <v>43</v>
      </c>
      <c r="D167" s="21">
        <f t="shared" si="31"/>
        <v>42917</v>
      </c>
      <c r="E167" s="4">
        <f>AVERAGE(All_India_Index_Upto_April23__1___1[[#This Row],[Cereals and products]:[Food and beverages]])</f>
        <v>136.00769230769231</v>
      </c>
      <c r="F167" s="5">
        <f>AVERAGE(All_India_Index_Upto_April23__1___1[[#This Row],[Pan, tobacco and intoxicants]])</f>
        <v>150.5</v>
      </c>
      <c r="G167" s="4">
        <f>AVERAGE(All_India_Index_Upto_April23__1___1[[#This Row],[Clothing]:[Clothing and footwear]])</f>
        <v>128.56666666666669</v>
      </c>
      <c r="H167" s="5">
        <f>AVERAGE(All_India_Index_Upto_April23__1___1[[#This Row],[Housing]:[Fuel and light]])</f>
        <v>119.7</v>
      </c>
      <c r="I167" s="5">
        <f>AVERAGE(All_India_Index_Upto_April23__1___1[[#This Row],[Household goods and services]:[Health]])</f>
        <v>126.1</v>
      </c>
      <c r="J167" s="5">
        <f>AVERAGE(All_India_Index_Upto_April23__1___1[[#This Row],[Transport and communication]])</f>
        <v>113.2</v>
      </c>
      <c r="K167" s="5">
        <f>AVERAGE(All_India_Index_Upto_April23__1___1[[#This Row],[Recreation and amusement]])</f>
        <v>123.5</v>
      </c>
      <c r="L167" s="5">
        <f>AVERAGE(All_India_Index_Upto_April23__1___1[[#This Row],[Education]])</f>
        <v>135.5</v>
      </c>
      <c r="M167" s="5">
        <f>AVERAGE(All_India_Index_Upto_April23__1___1[[#This Row],[Personal care and effects]])</f>
        <v>122.4</v>
      </c>
      <c r="N167" s="5">
        <f>AVERAGE(All_India_Index_Upto_April23__1___1[[#This Row],[Miscellaneous]])</f>
        <v>123</v>
      </c>
      <c r="O167" s="5">
        <f>AVERAGE(All_India_Index_Upto_April23__1___1[[#This Row],[General index]])</f>
        <v>131.80000000000001</v>
      </c>
      <c r="P167" s="2">
        <f t="shared" si="32"/>
        <v>1155.4743589743593</v>
      </c>
      <c r="R167" s="10">
        <f t="shared" si="33"/>
        <v>11.770723534567884</v>
      </c>
      <c r="S167" s="10">
        <f t="shared" si="34"/>
        <v>13.024953676478743</v>
      </c>
      <c r="T167" s="10">
        <f t="shared" si="35"/>
        <v>11.126743373239982</v>
      </c>
      <c r="U167" s="10">
        <f t="shared" si="36"/>
        <v>10.359381761292395</v>
      </c>
      <c r="V167" s="10">
        <f t="shared" si="37"/>
        <v>10.91326683457787</v>
      </c>
      <c r="W167" s="10">
        <f t="shared" si="38"/>
        <v>9.7968422337368359</v>
      </c>
      <c r="X167" s="10">
        <f t="shared" si="39"/>
        <v>10.688251023555646</v>
      </c>
      <c r="Y167" s="10">
        <f t="shared" si="40"/>
        <v>11.726785535965911</v>
      </c>
      <c r="Z167" s="10">
        <f t="shared" si="41"/>
        <v>10.593052026584706</v>
      </c>
    </row>
    <row r="168" spans="1:26" hidden="1" x14ac:dyDescent="0.3">
      <c r="A168" s="6" t="s">
        <v>34</v>
      </c>
      <c r="B168" s="6">
        <v>2017</v>
      </c>
      <c r="C168" s="6" t="s">
        <v>43</v>
      </c>
      <c r="D168" s="21">
        <f t="shared" si="31"/>
        <v>42917</v>
      </c>
      <c r="E168" s="4">
        <f>AVERAGE(All_India_Index_Upto_April23__1___1[[#This Row],[Cereals and products]:[Food and beverages]])</f>
        <v>136.1076923076923</v>
      </c>
      <c r="F168" s="5">
        <f>AVERAGE(All_India_Index_Upto_April23__1___1[[#This Row],[Pan, tobacco and intoxicants]])</f>
        <v>148.19999999999999</v>
      </c>
      <c r="G168" s="4">
        <f>AVERAGE(All_India_Index_Upto_April23__1___1[[#This Row],[Clothing]:[Clothing and footwear]])</f>
        <v>136.56666666666666</v>
      </c>
      <c r="H168" s="5">
        <f>AVERAGE(All_India_Index_Upto_April23__1___1[[#This Row],[Housing]:[Fuel and light]])</f>
        <v>129.4</v>
      </c>
      <c r="I168" s="5">
        <f>AVERAGE(All_India_Index_Upto_April23__1___1[[#This Row],[Household goods and services]:[Health]])</f>
        <v>130.65</v>
      </c>
      <c r="J168" s="5">
        <f>AVERAGE(All_India_Index_Upto_April23__1___1[[#This Row],[Transport and communication]])</f>
        <v>116</v>
      </c>
      <c r="K168" s="5">
        <f>AVERAGE(All_India_Index_Upto_April23__1___1[[#This Row],[Recreation and amusement]])</f>
        <v>126.6</v>
      </c>
      <c r="L168" s="5">
        <f>AVERAGE(All_India_Index_Upto_April23__1___1[[#This Row],[Education]])</f>
        <v>136.80000000000001</v>
      </c>
      <c r="M168" s="5">
        <f>AVERAGE(All_India_Index_Upto_April23__1___1[[#This Row],[Personal care and effects]])</f>
        <v>123.6</v>
      </c>
      <c r="N168" s="5">
        <f>AVERAGE(All_India_Index_Upto_April23__1___1[[#This Row],[Miscellaneous]])</f>
        <v>125.9</v>
      </c>
      <c r="O168" s="5">
        <f>AVERAGE(All_India_Index_Upto_April23__1___1[[#This Row],[General index]])</f>
        <v>134.19999999999999</v>
      </c>
      <c r="P168" s="2">
        <f>AVERAGE(E168:N168)</f>
        <v>130.98243589743589</v>
      </c>
      <c r="R168" s="10">
        <f t="shared" si="33"/>
        <v>103.91293410840952</v>
      </c>
      <c r="S168" s="10">
        <f t="shared" si="34"/>
        <v>113.14494114008239</v>
      </c>
      <c r="T168" s="10">
        <f t="shared" si="35"/>
        <v>104.26334319633774</v>
      </c>
      <c r="U168" s="10">
        <f t="shared" si="36"/>
        <v>98.791871683715669</v>
      </c>
      <c r="V168" s="10">
        <f t="shared" si="37"/>
        <v>99.746198110335797</v>
      </c>
      <c r="W168" s="10">
        <f t="shared" si="38"/>
        <v>88.561492390347894</v>
      </c>
      <c r="X168" s="10">
        <f t="shared" si="39"/>
        <v>96.654180488086581</v>
      </c>
      <c r="Y168" s="10">
        <f t="shared" si="40"/>
        <v>104.44148412930684</v>
      </c>
      <c r="Z168" s="10">
        <f t="shared" si="41"/>
        <v>94.36379706419828</v>
      </c>
    </row>
    <row r="169" spans="1:26" hidden="1" x14ac:dyDescent="0.3">
      <c r="A169" s="5" t="s">
        <v>30</v>
      </c>
      <c r="B169" s="5">
        <v>2017</v>
      </c>
      <c r="C169" s="5" t="s">
        <v>45</v>
      </c>
      <c r="D169" s="21">
        <f t="shared" si="31"/>
        <v>42948</v>
      </c>
      <c r="E169" s="4">
        <f>AVERAGE(All_India_Index_Upto_April23__1___1[[#This Row],[Cereals and products]:[Food and beverages]])</f>
        <v>137.88461538461536</v>
      </c>
      <c r="F169" s="5">
        <f>AVERAGE(All_India_Index_Upto_April23__1___1[[#This Row],[Pan, tobacco and intoxicants]])</f>
        <v>149</v>
      </c>
      <c r="G169" s="4">
        <f>AVERAGE(All_India_Index_Upto_April23__1___1[[#This Row],[Clothing]:[Clothing and footwear]])</f>
        <v>143</v>
      </c>
      <c r="H169" s="5">
        <f>AVERAGE(All_India_Index_Upto_April23__1___1[[#This Row],[Housing]:[Fuel and light]])</f>
        <v>136.4</v>
      </c>
      <c r="I169" s="5">
        <f>AVERAGE(All_India_Index_Upto_April23__1___1[[#This Row],[Household goods and services]:[Health]])</f>
        <v>135.15</v>
      </c>
      <c r="J169" s="5">
        <f>AVERAGE(All_India_Index_Upto_April23__1___1[[#This Row],[Transport and communication]])</f>
        <v>120.3</v>
      </c>
      <c r="K169" s="5">
        <f>AVERAGE(All_India_Index_Upto_April23__1___1[[#This Row],[Recreation and amusement]])</f>
        <v>131.5</v>
      </c>
      <c r="L169" s="5">
        <f>AVERAGE(All_India_Index_Upto_April23__1___1[[#This Row],[Education]])</f>
        <v>140.19999999999999</v>
      </c>
      <c r="M169" s="5">
        <f>AVERAGE(All_India_Index_Upto_April23__1___1[[#This Row],[Personal care and effects]])</f>
        <v>125.4</v>
      </c>
      <c r="N169" s="5">
        <f>AVERAGE(All_India_Index_Upto_April23__1___1[[#This Row],[Miscellaneous]])</f>
        <v>129.69999999999999</v>
      </c>
      <c r="O169" s="5">
        <f>AVERAGE(All_India_Index_Upto_April23__1___1[[#This Row],[General index]])</f>
        <v>137.80000000000001</v>
      </c>
      <c r="P169" s="2">
        <f t="shared" si="32"/>
        <v>1218.8346153846153</v>
      </c>
      <c r="R169" s="10">
        <f t="shared" si="33"/>
        <v>11.312824040618876</v>
      </c>
      <c r="S169" s="10">
        <f t="shared" si="34"/>
        <v>12.224792282665979</v>
      </c>
      <c r="T169" s="10">
        <f t="shared" si="35"/>
        <v>11.732518767927751</v>
      </c>
      <c r="U169" s="10">
        <f t="shared" si="36"/>
        <v>11.191017901715702</v>
      </c>
      <c r="V169" s="10">
        <f t="shared" si="37"/>
        <v>11.088460919478569</v>
      </c>
      <c r="W169" s="10">
        <f t="shared" si="38"/>
        <v>9.870083970501458</v>
      </c>
      <c r="X169" s="10">
        <f t="shared" si="39"/>
        <v>10.788994531346148</v>
      </c>
      <c r="Y169" s="10">
        <f t="shared" si="40"/>
        <v>11.502791127716577</v>
      </c>
      <c r="Z169" s="10">
        <f t="shared" si="41"/>
        <v>10.288516458028951</v>
      </c>
    </row>
    <row r="170" spans="1:26" hidden="1" x14ac:dyDescent="0.3">
      <c r="A170" s="6" t="s">
        <v>32</v>
      </c>
      <c r="B170" s="6">
        <v>2017</v>
      </c>
      <c r="C170" s="6" t="s">
        <v>45</v>
      </c>
      <c r="D170" s="21">
        <f t="shared" si="31"/>
        <v>42948</v>
      </c>
      <c r="E170" s="4">
        <f>AVERAGE(All_India_Index_Upto_April23__1___1[[#This Row],[Cereals and products]:[Food and beverages]])</f>
        <v>136.38461538461536</v>
      </c>
      <c r="F170" s="5">
        <f>AVERAGE(All_India_Index_Upto_April23__1___1[[#This Row],[Pan, tobacco and intoxicants]])</f>
        <v>152.1</v>
      </c>
      <c r="G170" s="4">
        <f>AVERAGE(All_India_Index_Upto_April23__1___1[[#This Row],[Clothing]:[Clothing and footwear]])</f>
        <v>129.46666666666667</v>
      </c>
      <c r="H170" s="5">
        <f>AVERAGE(All_India_Index_Upto_April23__1___1[[#This Row],[Housing]:[Fuel and light]])</f>
        <v>118.9</v>
      </c>
      <c r="I170" s="5">
        <f>AVERAGE(All_India_Index_Upto_April23__1___1[[#This Row],[Household goods and services]:[Health]])</f>
        <v>126.7</v>
      </c>
      <c r="J170" s="5">
        <f>AVERAGE(All_India_Index_Upto_April23__1___1[[#This Row],[Transport and communication]])</f>
        <v>114.6</v>
      </c>
      <c r="K170" s="5">
        <f>AVERAGE(All_India_Index_Upto_April23__1___1[[#This Row],[Recreation and amusement]])</f>
        <v>124.1</v>
      </c>
      <c r="L170" s="5">
        <f>AVERAGE(All_India_Index_Upto_April23__1___1[[#This Row],[Education]])</f>
        <v>135.69999999999999</v>
      </c>
      <c r="M170" s="5">
        <f>AVERAGE(All_India_Index_Upto_April23__1___1[[#This Row],[Personal care and effects]])</f>
        <v>123.3</v>
      </c>
      <c r="N170" s="5">
        <f>AVERAGE(All_India_Index_Upto_April23__1___1[[#This Row],[Miscellaneous]])</f>
        <v>123.8</v>
      </c>
      <c r="O170" s="5">
        <f>AVERAGE(All_India_Index_Upto_April23__1___1[[#This Row],[General index]])</f>
        <v>132.69999999999999</v>
      </c>
      <c r="P170" s="2">
        <f t="shared" si="32"/>
        <v>1161.251282051282</v>
      </c>
      <c r="R170" s="10">
        <f t="shared" si="33"/>
        <v>11.74462560279804</v>
      </c>
      <c r="S170" s="10">
        <f t="shared" si="34"/>
        <v>13.097940329617918</v>
      </c>
      <c r="T170" s="10">
        <f t="shared" si="35"/>
        <v>11.148893324618889</v>
      </c>
      <c r="U170" s="10">
        <f t="shared" si="36"/>
        <v>10.238955326703291</v>
      </c>
      <c r="V170" s="10">
        <f t="shared" si="37"/>
        <v>10.910644574376004</v>
      </c>
      <c r="W170" s="10">
        <f t="shared" si="38"/>
        <v>9.868665100422179</v>
      </c>
      <c r="X170" s="10">
        <f t="shared" si="39"/>
        <v>10.6867481584851</v>
      </c>
      <c r="Y170" s="10">
        <f t="shared" si="40"/>
        <v>11.685670629382981</v>
      </c>
      <c r="Z170" s="10">
        <f t="shared" si="41"/>
        <v>10.61785695359559</v>
      </c>
    </row>
    <row r="171" spans="1:26" hidden="1" x14ac:dyDescent="0.3">
      <c r="A171" s="5" t="s">
        <v>34</v>
      </c>
      <c r="B171" s="5">
        <v>2017</v>
      </c>
      <c r="C171" s="5" t="s">
        <v>45</v>
      </c>
      <c r="D171" s="21">
        <f t="shared" si="31"/>
        <v>42948</v>
      </c>
      <c r="E171" s="4">
        <f>AVERAGE(All_India_Index_Upto_April23__1___1[[#This Row],[Cereals and products]:[Food and beverages]])</f>
        <v>137.21538461538461</v>
      </c>
      <c r="F171" s="5">
        <f>AVERAGE(All_India_Index_Upto_April23__1___1[[#This Row],[Pan, tobacco and intoxicants]])</f>
        <v>149.80000000000001</v>
      </c>
      <c r="G171" s="4">
        <f>AVERAGE(All_India_Index_Upto_April23__1___1[[#This Row],[Clothing]:[Clothing and footwear]])</f>
        <v>137.53333333333333</v>
      </c>
      <c r="H171" s="5">
        <f>AVERAGE(All_India_Index_Upto_April23__1___1[[#This Row],[Housing]:[Fuel and light]])</f>
        <v>129.80000000000001</v>
      </c>
      <c r="I171" s="5">
        <f>AVERAGE(All_India_Index_Upto_April23__1___1[[#This Row],[Household goods and services]:[Health]])</f>
        <v>131.5</v>
      </c>
      <c r="J171" s="5">
        <f>AVERAGE(All_India_Index_Upto_April23__1___1[[#This Row],[Transport and communication]])</f>
        <v>117.3</v>
      </c>
      <c r="K171" s="5">
        <f>AVERAGE(All_India_Index_Upto_April23__1___1[[#This Row],[Recreation and amusement]])</f>
        <v>127.3</v>
      </c>
      <c r="L171" s="5">
        <f>AVERAGE(All_India_Index_Upto_April23__1___1[[#This Row],[Education]])</f>
        <v>137.6</v>
      </c>
      <c r="M171" s="5">
        <f>AVERAGE(All_India_Index_Upto_April23__1___1[[#This Row],[Personal care and effects]])</f>
        <v>124.5</v>
      </c>
      <c r="N171" s="5">
        <f>AVERAGE(All_India_Index_Upto_April23__1___1[[#This Row],[Miscellaneous]])</f>
        <v>126.8</v>
      </c>
      <c r="O171" s="5">
        <f>AVERAGE(All_India_Index_Upto_April23__1___1[[#This Row],[General index]])</f>
        <v>135.4</v>
      </c>
      <c r="P171" s="2">
        <f>AVERAGE(E171:N171)</f>
        <v>131.93487179487175</v>
      </c>
      <c r="R171" s="10">
        <f t="shared" si="33"/>
        <v>104.00236324837822</v>
      </c>
      <c r="S171" s="10">
        <f t="shared" si="34"/>
        <v>113.54086903794807</v>
      </c>
      <c r="T171" s="10">
        <f t="shared" si="35"/>
        <v>104.24335239220596</v>
      </c>
      <c r="U171" s="10">
        <f t="shared" si="36"/>
        <v>98.381874506846856</v>
      </c>
      <c r="V171" s="10">
        <f t="shared" si="37"/>
        <v>99.670389041990447</v>
      </c>
      <c r="W171" s="10">
        <f t="shared" si="38"/>
        <v>88.907502924908584</v>
      </c>
      <c r="X171" s="10">
        <f t="shared" si="39"/>
        <v>96.487000190459199</v>
      </c>
      <c r="Y171" s="10">
        <f t="shared" si="40"/>
        <v>104.29388237397632</v>
      </c>
      <c r="Z171" s="10">
        <f t="shared" si="41"/>
        <v>94.364740956105024</v>
      </c>
    </row>
    <row r="172" spans="1:26" hidden="1" x14ac:dyDescent="0.3">
      <c r="A172" s="6" t="s">
        <v>30</v>
      </c>
      <c r="B172" s="6">
        <v>2017</v>
      </c>
      <c r="C172" s="6" t="s">
        <v>47</v>
      </c>
      <c r="D172" s="21">
        <f t="shared" si="31"/>
        <v>42979</v>
      </c>
      <c r="E172" s="4">
        <f>AVERAGE(All_India_Index_Upto_April23__1___1[[#This Row],[Cereals and products]:[Food and beverages]])</f>
        <v>137.25384615384615</v>
      </c>
      <c r="F172" s="5">
        <f>AVERAGE(All_India_Index_Upto_April23__1___1[[#This Row],[Pan, tobacco and intoxicants]])</f>
        <v>149.80000000000001</v>
      </c>
      <c r="G172" s="4">
        <f>AVERAGE(All_India_Index_Upto_April23__1___1[[#This Row],[Clothing]:[Clothing and footwear]])</f>
        <v>143.66666666666666</v>
      </c>
      <c r="H172" s="5">
        <f>AVERAGE(All_India_Index_Upto_April23__1___1[[#This Row],[Housing]:[Fuel and light]])</f>
        <v>137.4</v>
      </c>
      <c r="I172" s="5">
        <f>AVERAGE(All_India_Index_Upto_April23__1___1[[#This Row],[Household goods and services]:[Health]])</f>
        <v>135.65</v>
      </c>
      <c r="J172" s="5">
        <f>AVERAGE(All_India_Index_Upto_April23__1___1[[#This Row],[Transport and communication]])</f>
        <v>121.2</v>
      </c>
      <c r="K172" s="5">
        <f>AVERAGE(All_India_Index_Upto_April23__1___1[[#This Row],[Recreation and amusement]])</f>
        <v>132.30000000000001</v>
      </c>
      <c r="L172" s="5">
        <f>AVERAGE(All_India_Index_Upto_April23__1___1[[#This Row],[Education]])</f>
        <v>139.6</v>
      </c>
      <c r="M172" s="5">
        <f>AVERAGE(All_India_Index_Upto_April23__1___1[[#This Row],[Personal care and effects]])</f>
        <v>126.7</v>
      </c>
      <c r="N172" s="5">
        <f>AVERAGE(All_India_Index_Upto_April23__1___1[[#This Row],[Miscellaneous]])</f>
        <v>130.30000000000001</v>
      </c>
      <c r="O172" s="5">
        <f>AVERAGE(All_India_Index_Upto_April23__1___1[[#This Row],[General index]])</f>
        <v>137.6</v>
      </c>
      <c r="P172" s="2">
        <f t="shared" si="32"/>
        <v>1223.5705128205127</v>
      </c>
      <c r="R172" s="10">
        <f t="shared" si="33"/>
        <v>11.217485605913758</v>
      </c>
      <c r="S172" s="10">
        <f t="shared" si="34"/>
        <v>12.242857966124784</v>
      </c>
      <c r="T172" s="10">
        <f t="shared" si="35"/>
        <v>11.741592753448556</v>
      </c>
      <c r="U172" s="10">
        <f t="shared" si="36"/>
        <v>11.229430470931543</v>
      </c>
      <c r="V172" s="10">
        <f t="shared" si="37"/>
        <v>11.086406429271207</v>
      </c>
      <c r="W172" s="10">
        <f t="shared" si="38"/>
        <v>9.9054364852758585</v>
      </c>
      <c r="X172" s="10">
        <f t="shared" si="39"/>
        <v>10.812617549521422</v>
      </c>
      <c r="Y172" s="10">
        <f t="shared" si="40"/>
        <v>11.409232123304538</v>
      </c>
      <c r="Z172" s="10">
        <f t="shared" si="41"/>
        <v>10.354940616208346</v>
      </c>
    </row>
    <row r="173" spans="1:26" hidden="1" x14ac:dyDescent="0.3">
      <c r="A173" s="5" t="s">
        <v>32</v>
      </c>
      <c r="B173" s="5">
        <v>2017</v>
      </c>
      <c r="C173" s="5" t="s">
        <v>47</v>
      </c>
      <c r="D173" s="21">
        <f t="shared" si="31"/>
        <v>42979</v>
      </c>
      <c r="E173" s="4">
        <f>AVERAGE(All_India_Index_Upto_April23__1___1[[#This Row],[Cereals and products]:[Food and beverages]])</f>
        <v>134.59230769230768</v>
      </c>
      <c r="F173" s="5">
        <f>AVERAGE(All_India_Index_Upto_April23__1___1[[#This Row],[Pan, tobacco and intoxicants]])</f>
        <v>153.6</v>
      </c>
      <c r="G173" s="4">
        <f>AVERAGE(All_India_Index_Upto_April23__1___1[[#This Row],[Clothing]:[Clothing and footwear]])</f>
        <v>129.96666666666667</v>
      </c>
      <c r="H173" s="5">
        <f>AVERAGE(All_India_Index_Upto_April23__1___1[[#This Row],[Housing]:[Fuel and light]])</f>
        <v>120.6</v>
      </c>
      <c r="I173" s="5">
        <f>AVERAGE(All_India_Index_Upto_April23__1___1[[#This Row],[Household goods and services]:[Health]])</f>
        <v>127.1</v>
      </c>
      <c r="J173" s="5">
        <f>AVERAGE(All_India_Index_Upto_April23__1___1[[#This Row],[Transport and communication]])</f>
        <v>115.7</v>
      </c>
      <c r="K173" s="5">
        <f>AVERAGE(All_India_Index_Upto_April23__1___1[[#This Row],[Recreation and amusement]])</f>
        <v>124.5</v>
      </c>
      <c r="L173" s="5">
        <f>AVERAGE(All_India_Index_Upto_April23__1___1[[#This Row],[Education]])</f>
        <v>135.9</v>
      </c>
      <c r="M173" s="5">
        <f>AVERAGE(All_India_Index_Upto_April23__1___1[[#This Row],[Personal care and effects]])</f>
        <v>124.4</v>
      </c>
      <c r="N173" s="5">
        <f>AVERAGE(All_India_Index_Upto_April23__1___1[[#This Row],[Miscellaneous]])</f>
        <v>124.5</v>
      </c>
      <c r="O173" s="5">
        <f>AVERAGE(All_India_Index_Upto_April23__1___1[[#This Row],[General index]])</f>
        <v>132.4</v>
      </c>
      <c r="P173" s="2">
        <f t="shared" si="32"/>
        <v>1166.3589743589746</v>
      </c>
      <c r="R173" s="10">
        <f t="shared" si="33"/>
        <v>11.539526908195565</v>
      </c>
      <c r="S173" s="10">
        <f t="shared" si="34"/>
        <v>13.169187478016179</v>
      </c>
      <c r="T173" s="10">
        <f t="shared" si="35"/>
        <v>11.142938797045373</v>
      </c>
      <c r="U173" s="10">
        <f t="shared" si="36"/>
        <v>10.339869855786139</v>
      </c>
      <c r="V173" s="10">
        <f t="shared" si="37"/>
        <v>10.897159690467813</v>
      </c>
      <c r="W173" s="10">
        <f t="shared" si="38"/>
        <v>9.9197590573338008</v>
      </c>
      <c r="X173" s="10">
        <f t="shared" si="39"/>
        <v>10.674243756595143</v>
      </c>
      <c r="Y173" s="10">
        <f t="shared" si="40"/>
        <v>11.651644389729157</v>
      </c>
      <c r="Z173" s="10">
        <f t="shared" si="41"/>
        <v>10.665670066830812</v>
      </c>
    </row>
    <row r="174" spans="1:26" hidden="1" x14ac:dyDescent="0.3">
      <c r="A174" s="6" t="s">
        <v>34</v>
      </c>
      <c r="B174" s="6">
        <v>2017</v>
      </c>
      <c r="C174" s="6" t="s">
        <v>47</v>
      </c>
      <c r="D174" s="21">
        <f t="shared" si="31"/>
        <v>42979</v>
      </c>
      <c r="E174" s="4">
        <f>AVERAGE(All_India_Index_Upto_April23__1___1[[#This Row],[Cereals and products]:[Food and beverages]])</f>
        <v>136.15384615384613</v>
      </c>
      <c r="F174" s="5">
        <f>AVERAGE(All_India_Index_Upto_April23__1___1[[#This Row],[Pan, tobacco and intoxicants]])</f>
        <v>150.80000000000001</v>
      </c>
      <c r="G174" s="4">
        <f>AVERAGE(All_India_Index_Upto_April23__1___1[[#This Row],[Clothing]:[Clothing and footwear]])</f>
        <v>138.16666666666666</v>
      </c>
      <c r="H174" s="5">
        <f>AVERAGE(All_India_Index_Upto_April23__1___1[[#This Row],[Housing]:[Fuel and light]])</f>
        <v>131</v>
      </c>
      <c r="I174" s="5">
        <f>AVERAGE(All_India_Index_Upto_April23__1___1[[#This Row],[Household goods and services]:[Health]])</f>
        <v>131.94999999999999</v>
      </c>
      <c r="J174" s="5">
        <f>AVERAGE(All_India_Index_Upto_April23__1___1[[#This Row],[Transport and communication]])</f>
        <v>118.3</v>
      </c>
      <c r="K174" s="5">
        <f>AVERAGE(All_India_Index_Upto_April23__1___1[[#This Row],[Recreation and amusement]])</f>
        <v>127.9</v>
      </c>
      <c r="L174" s="5">
        <f>AVERAGE(All_India_Index_Upto_April23__1___1[[#This Row],[Education]])</f>
        <v>137.4</v>
      </c>
      <c r="M174" s="5">
        <f>AVERAGE(All_India_Index_Upto_April23__1___1[[#This Row],[Personal care and effects]])</f>
        <v>125.7</v>
      </c>
      <c r="N174" s="5">
        <f>AVERAGE(All_India_Index_Upto_April23__1___1[[#This Row],[Miscellaneous]])</f>
        <v>127.5</v>
      </c>
      <c r="O174" s="5">
        <f>AVERAGE(All_India_Index_Upto_April23__1___1[[#This Row],[General index]])</f>
        <v>135.19999999999999</v>
      </c>
      <c r="P174" s="2">
        <f>AVERAGE(E174:N174)</f>
        <v>132.48705128205125</v>
      </c>
      <c r="R174" s="10">
        <f t="shared" si="33"/>
        <v>102.7676628291686</v>
      </c>
      <c r="S174" s="10">
        <f t="shared" si="34"/>
        <v>113.82244418661141</v>
      </c>
      <c r="T174" s="10">
        <f t="shared" si="35"/>
        <v>104.28692112146423</v>
      </c>
      <c r="U174" s="10">
        <f t="shared" si="36"/>
        <v>98.877587456539075</v>
      </c>
      <c r="V174" s="10">
        <f t="shared" si="37"/>
        <v>99.594638663284968</v>
      </c>
      <c r="W174" s="10">
        <f t="shared" si="38"/>
        <v>89.291745008462385</v>
      </c>
      <c r="X174" s="10">
        <f t="shared" si="39"/>
        <v>96.537736150315638</v>
      </c>
      <c r="Y174" s="10">
        <f t="shared" si="40"/>
        <v>103.70824821777458</v>
      </c>
      <c r="Z174" s="10">
        <f t="shared" si="41"/>
        <v>94.877196513640925</v>
      </c>
    </row>
    <row r="175" spans="1:26" hidden="1" x14ac:dyDescent="0.3">
      <c r="A175" s="5" t="s">
        <v>30</v>
      </c>
      <c r="B175" s="5">
        <v>2017</v>
      </c>
      <c r="C175" s="5" t="s">
        <v>49</v>
      </c>
      <c r="D175" s="21">
        <f t="shared" si="31"/>
        <v>43009</v>
      </c>
      <c r="E175" s="4">
        <f>AVERAGE(All_India_Index_Upto_April23__1___1[[#This Row],[Cereals and products]:[Food and beverages]])</f>
        <v>137.76153846153846</v>
      </c>
      <c r="F175" s="5">
        <f>AVERAGE(All_India_Index_Upto_April23__1___1[[#This Row],[Pan, tobacco and intoxicants]])</f>
        <v>150.5</v>
      </c>
      <c r="G175" s="4">
        <f>AVERAGE(All_India_Index_Upto_April23__1___1[[#This Row],[Clothing]:[Clothing and footwear]])</f>
        <v>144.66666666666666</v>
      </c>
      <c r="H175" s="5">
        <f>AVERAGE(All_India_Index_Upto_April23__1___1[[#This Row],[Housing]:[Fuel and light]])</f>
        <v>138.1</v>
      </c>
      <c r="I175" s="5">
        <f>AVERAGE(All_India_Index_Upto_April23__1___1[[#This Row],[Household goods and services]:[Health]])</f>
        <v>136.30000000000001</v>
      </c>
      <c r="J175" s="5">
        <f>AVERAGE(All_India_Index_Upto_April23__1___1[[#This Row],[Transport and communication]])</f>
        <v>121</v>
      </c>
      <c r="K175" s="5">
        <f>AVERAGE(All_India_Index_Upto_April23__1___1[[#This Row],[Recreation and amusement]])</f>
        <v>133</v>
      </c>
      <c r="L175" s="5">
        <f>AVERAGE(All_India_Index_Upto_April23__1___1[[#This Row],[Education]])</f>
        <v>140.1</v>
      </c>
      <c r="M175" s="5">
        <f>AVERAGE(All_India_Index_Upto_April23__1___1[[#This Row],[Personal care and effects]])</f>
        <v>127.4</v>
      </c>
      <c r="N175" s="5">
        <f>AVERAGE(All_India_Index_Upto_April23__1___1[[#This Row],[Miscellaneous]])</f>
        <v>130.69999999999999</v>
      </c>
      <c r="O175" s="5">
        <f>AVERAGE(All_India_Index_Upto_April23__1___1[[#This Row],[General index]])</f>
        <v>138.30000000000001</v>
      </c>
      <c r="P175" s="2">
        <f t="shared" si="32"/>
        <v>1228.8282051282051</v>
      </c>
      <c r="R175" s="10">
        <f t="shared" si="33"/>
        <v>11.210805374309068</v>
      </c>
      <c r="S175" s="10">
        <f t="shared" si="34"/>
        <v>12.247440233868831</v>
      </c>
      <c r="T175" s="10">
        <f t="shared" si="35"/>
        <v>11.772733248059961</v>
      </c>
      <c r="U175" s="10">
        <f t="shared" si="36"/>
        <v>11.238348812606548</v>
      </c>
      <c r="V175" s="10">
        <f t="shared" si="37"/>
        <v>11.091867799842669</v>
      </c>
      <c r="W175" s="10">
        <f t="shared" si="38"/>
        <v>9.8467791913496914</v>
      </c>
      <c r="X175" s="10">
        <f t="shared" si="39"/>
        <v>10.823319276442223</v>
      </c>
      <c r="Y175" s="10">
        <f t="shared" si="40"/>
        <v>11.401105493455303</v>
      </c>
      <c r="Z175" s="10">
        <f t="shared" si="41"/>
        <v>10.36760057006571</v>
      </c>
    </row>
    <row r="176" spans="1:26" hidden="1" x14ac:dyDescent="0.3">
      <c r="A176" s="6" t="s">
        <v>32</v>
      </c>
      <c r="B176" s="6">
        <v>2017</v>
      </c>
      <c r="C176" s="6" t="s">
        <v>49</v>
      </c>
      <c r="D176" s="21">
        <f t="shared" si="31"/>
        <v>43009</v>
      </c>
      <c r="E176" s="4">
        <f>AVERAGE(All_India_Index_Upto_April23__1___1[[#This Row],[Cereals and products]:[Food and beverages]])</f>
        <v>135.82307692307691</v>
      </c>
      <c r="F176" s="5">
        <f>AVERAGE(All_India_Index_Upto_April23__1___1[[#This Row],[Pan, tobacco and intoxicants]])</f>
        <v>154.6</v>
      </c>
      <c r="G176" s="4">
        <f>AVERAGE(All_India_Index_Upto_April23__1___1[[#This Row],[Clothing]:[Clothing and footwear]])</f>
        <v>130.5</v>
      </c>
      <c r="H176" s="5">
        <f>AVERAGE(All_India_Index_Upto_April23__1___1[[#This Row],[Housing]:[Fuel and light]])</f>
        <v>122.6</v>
      </c>
      <c r="I176" s="5">
        <f>AVERAGE(All_India_Index_Upto_April23__1___1[[#This Row],[Household goods and services]:[Health]])</f>
        <v>127.45</v>
      </c>
      <c r="J176" s="5">
        <f>AVERAGE(All_India_Index_Upto_April23__1___1[[#This Row],[Transport and communication]])</f>
        <v>115</v>
      </c>
      <c r="K176" s="5">
        <f>AVERAGE(All_India_Index_Upto_April23__1___1[[#This Row],[Recreation and amusement]])</f>
        <v>124.8</v>
      </c>
      <c r="L176" s="5">
        <f>AVERAGE(All_India_Index_Upto_April23__1___1[[#This Row],[Education]])</f>
        <v>136.30000000000001</v>
      </c>
      <c r="M176" s="5">
        <f>AVERAGE(All_India_Index_Upto_April23__1___1[[#This Row],[Personal care and effects]])</f>
        <v>124.6</v>
      </c>
      <c r="N176" s="5">
        <f>AVERAGE(All_India_Index_Upto_April23__1___1[[#This Row],[Miscellaneous]])</f>
        <v>124.5</v>
      </c>
      <c r="O176" s="5">
        <f>AVERAGE(All_India_Index_Upto_April23__1___1[[#This Row],[General index]])</f>
        <v>133.5</v>
      </c>
      <c r="P176" s="2">
        <f t="shared" si="32"/>
        <v>1171.6730769230769</v>
      </c>
      <c r="R176" s="10">
        <f t="shared" si="33"/>
        <v>11.592233328409407</v>
      </c>
      <c r="S176" s="10">
        <f t="shared" si="34"/>
        <v>13.19480690006073</v>
      </c>
      <c r="T176" s="10">
        <f t="shared" si="35"/>
        <v>11.137919149145699</v>
      </c>
      <c r="U176" s="10">
        <f t="shared" si="36"/>
        <v>10.463669637434963</v>
      </c>
      <c r="V176" s="10">
        <f t="shared" si="37"/>
        <v>10.87760762880168</v>
      </c>
      <c r="W176" s="10">
        <f t="shared" si="38"/>
        <v>9.8150245375613441</v>
      </c>
      <c r="X176" s="10">
        <f t="shared" si="39"/>
        <v>10.651435324240484</v>
      </c>
      <c r="Y176" s="10">
        <f t="shared" si="40"/>
        <v>11.63293777799662</v>
      </c>
      <c r="Z176" s="10">
        <f t="shared" si="41"/>
        <v>10.634365716349073</v>
      </c>
    </row>
    <row r="177" spans="1:26" hidden="1" x14ac:dyDescent="0.3">
      <c r="A177" s="5" t="s">
        <v>34</v>
      </c>
      <c r="B177" s="5">
        <v>2017</v>
      </c>
      <c r="C177" s="5" t="s">
        <v>49</v>
      </c>
      <c r="D177" s="21">
        <f t="shared" si="31"/>
        <v>43009</v>
      </c>
      <c r="E177" s="4">
        <f>AVERAGE(All_India_Index_Upto_April23__1___1[[#This Row],[Cereals and products]:[Food and beverages]])</f>
        <v>136.89999999999998</v>
      </c>
      <c r="F177" s="5">
        <f>AVERAGE(All_India_Index_Upto_April23__1___1[[#This Row],[Pan, tobacco and intoxicants]])</f>
        <v>151.6</v>
      </c>
      <c r="G177" s="4">
        <f>AVERAGE(All_India_Index_Upto_April23__1___1[[#This Row],[Clothing]:[Clothing and footwear]])</f>
        <v>138.96666666666667</v>
      </c>
      <c r="H177" s="5">
        <f>AVERAGE(All_India_Index_Upto_April23__1___1[[#This Row],[Housing]:[Fuel and light]])</f>
        <v>132.19999999999999</v>
      </c>
      <c r="I177" s="5">
        <f>AVERAGE(All_India_Index_Upto_April23__1___1[[#This Row],[Household goods and services]:[Health]])</f>
        <v>132.44999999999999</v>
      </c>
      <c r="J177" s="5">
        <f>AVERAGE(All_India_Index_Upto_April23__1___1[[#This Row],[Transport and communication]])</f>
        <v>117.8</v>
      </c>
      <c r="K177" s="5">
        <f>AVERAGE(All_India_Index_Upto_April23__1___1[[#This Row],[Recreation and amusement]])</f>
        <v>128.4</v>
      </c>
      <c r="L177" s="5">
        <f>AVERAGE(All_India_Index_Upto_April23__1___1[[#This Row],[Education]])</f>
        <v>137.9</v>
      </c>
      <c r="M177" s="5">
        <f>AVERAGE(All_India_Index_Upto_April23__1___1[[#This Row],[Personal care and effects]])</f>
        <v>126.2</v>
      </c>
      <c r="N177" s="5">
        <f>AVERAGE(All_India_Index_Upto_April23__1___1[[#This Row],[Miscellaneous]])</f>
        <v>127.7</v>
      </c>
      <c r="O177" s="5">
        <f>AVERAGE(All_India_Index_Upto_April23__1___1[[#This Row],[General index]])</f>
        <v>136.1</v>
      </c>
      <c r="P177" s="2">
        <f>AVERAGE(E177:N177)</f>
        <v>133.01166666666668</v>
      </c>
      <c r="R177" s="10">
        <f t="shared" si="33"/>
        <v>102.92330246720209</v>
      </c>
      <c r="S177" s="10">
        <f t="shared" si="34"/>
        <v>113.97496460210255</v>
      </c>
      <c r="T177" s="10">
        <f t="shared" si="35"/>
        <v>104.47705088526067</v>
      </c>
      <c r="U177" s="10">
        <f t="shared" si="36"/>
        <v>99.389777839036654</v>
      </c>
      <c r="V177" s="10">
        <f t="shared" si="37"/>
        <v>99.577731276705023</v>
      </c>
      <c r="W177" s="10">
        <f t="shared" si="38"/>
        <v>88.563659829338263</v>
      </c>
      <c r="X177" s="10">
        <f t="shared" si="39"/>
        <v>96.532885586477363</v>
      </c>
      <c r="Y177" s="10">
        <f t="shared" si="40"/>
        <v>103.67511621787561</v>
      </c>
      <c r="Z177" s="10">
        <f t="shared" si="41"/>
        <v>94.878895334995661</v>
      </c>
    </row>
    <row r="178" spans="1:26" hidden="1" x14ac:dyDescent="0.3">
      <c r="A178" s="6" t="s">
        <v>30</v>
      </c>
      <c r="B178" s="6">
        <v>2017</v>
      </c>
      <c r="C178" s="6" t="s">
        <v>52</v>
      </c>
      <c r="D178" s="21">
        <f t="shared" si="31"/>
        <v>43040</v>
      </c>
      <c r="E178" s="4">
        <f>AVERAGE(All_India_Index_Upto_April23__1___1[[#This Row],[Cereals and products]:[Food and beverages]])</f>
        <v>139.82307692307694</v>
      </c>
      <c r="F178" s="5">
        <f>AVERAGE(All_India_Index_Upto_April23__1___1[[#This Row],[Pan, tobacco and intoxicants]])</f>
        <v>152.1</v>
      </c>
      <c r="G178" s="4">
        <f>AVERAGE(All_India_Index_Upto_April23__1___1[[#This Row],[Clothing]:[Clothing and footwear]])</f>
        <v>145.66666666666666</v>
      </c>
      <c r="H178" s="5">
        <f>AVERAGE(All_India_Index_Upto_April23__1___1[[#This Row],[Housing]:[Fuel and light]])</f>
        <v>141.1</v>
      </c>
      <c r="I178" s="5">
        <f>AVERAGE(All_India_Index_Upto_April23__1___1[[#This Row],[Household goods and services]:[Health]])</f>
        <v>137.60000000000002</v>
      </c>
      <c r="J178" s="5">
        <f>AVERAGE(All_India_Index_Upto_April23__1___1[[#This Row],[Transport and communication]])</f>
        <v>121.6</v>
      </c>
      <c r="K178" s="5">
        <f>AVERAGE(All_India_Index_Upto_April23__1___1[[#This Row],[Recreation and amusement]])</f>
        <v>133.69999999999999</v>
      </c>
      <c r="L178" s="5">
        <f>AVERAGE(All_India_Index_Upto_April23__1___1[[#This Row],[Education]])</f>
        <v>141.5</v>
      </c>
      <c r="M178" s="5">
        <f>AVERAGE(All_India_Index_Upto_April23__1___1[[#This Row],[Personal care and effects]])</f>
        <v>128.1</v>
      </c>
      <c r="N178" s="5">
        <f>AVERAGE(All_India_Index_Upto_April23__1___1[[#This Row],[Miscellaneous]])</f>
        <v>131.69999999999999</v>
      </c>
      <c r="O178" s="5">
        <f>AVERAGE(All_India_Index_Upto_April23__1___1[[#This Row],[General index]])</f>
        <v>140</v>
      </c>
      <c r="P178" s="2">
        <f t="shared" si="32"/>
        <v>1241.1897435897436</v>
      </c>
      <c r="R178" s="10">
        <f t="shared" si="33"/>
        <v>11.265245917895156</v>
      </c>
      <c r="S178" s="10">
        <f t="shared" si="34"/>
        <v>12.25437132280029</v>
      </c>
      <c r="T178" s="10">
        <f t="shared" si="35"/>
        <v>11.736051431215706</v>
      </c>
      <c r="U178" s="10">
        <f t="shared" si="36"/>
        <v>11.368124876049448</v>
      </c>
      <c r="V178" s="10">
        <f t="shared" si="37"/>
        <v>11.08613737026509</v>
      </c>
      <c r="W178" s="10">
        <f t="shared" si="38"/>
        <v>9.7970516295365897</v>
      </c>
      <c r="X178" s="10">
        <f t="shared" si="39"/>
        <v>10.771922720962516</v>
      </c>
      <c r="Y178" s="10">
        <f t="shared" si="40"/>
        <v>11.400352019567661</v>
      </c>
      <c r="Z178" s="10">
        <f t="shared" si="41"/>
        <v>10.320742711707542</v>
      </c>
    </row>
    <row r="179" spans="1:26" hidden="1" x14ac:dyDescent="0.3">
      <c r="A179" s="5" t="s">
        <v>32</v>
      </c>
      <c r="B179" s="5">
        <v>2017</v>
      </c>
      <c r="C179" s="5" t="s">
        <v>52</v>
      </c>
      <c r="D179" s="21">
        <f t="shared" si="31"/>
        <v>43040</v>
      </c>
      <c r="E179" s="4">
        <f>AVERAGE(All_India_Index_Upto_April23__1___1[[#This Row],[Cereals and products]:[Food and beverages]])</f>
        <v>138.2076923076923</v>
      </c>
      <c r="F179" s="5">
        <f>AVERAGE(All_India_Index_Upto_April23__1___1[[#This Row],[Pan, tobacco and intoxicants]])</f>
        <v>156.19999999999999</v>
      </c>
      <c r="G179" s="4">
        <f>AVERAGE(All_India_Index_Upto_April23__1___1[[#This Row],[Clothing]:[Clothing and footwear]])</f>
        <v>131.29999999999998</v>
      </c>
      <c r="H179" s="5">
        <f>AVERAGE(All_India_Index_Upto_April23__1___1[[#This Row],[Housing]:[Fuel and light]])</f>
        <v>125.7</v>
      </c>
      <c r="I179" s="5">
        <f>AVERAGE(All_India_Index_Upto_April23__1___1[[#This Row],[Household goods and services]:[Health]])</f>
        <v>128.10000000000002</v>
      </c>
      <c r="J179" s="5">
        <f>AVERAGE(All_India_Index_Upto_April23__1___1[[#This Row],[Transport and communication]])</f>
        <v>115.3</v>
      </c>
      <c r="K179" s="5">
        <f>AVERAGE(All_India_Index_Upto_April23__1___1[[#This Row],[Recreation and amusement]])</f>
        <v>125.1</v>
      </c>
      <c r="L179" s="5">
        <f>AVERAGE(All_India_Index_Upto_April23__1___1[[#This Row],[Education]])</f>
        <v>136.6</v>
      </c>
      <c r="M179" s="5">
        <f>AVERAGE(All_India_Index_Upto_April23__1___1[[#This Row],[Personal care and effects]])</f>
        <v>124.9</v>
      </c>
      <c r="N179" s="5">
        <f>AVERAGE(All_India_Index_Upto_April23__1___1[[#This Row],[Miscellaneous]])</f>
        <v>124.9</v>
      </c>
      <c r="O179" s="5">
        <f>AVERAGE(All_India_Index_Upto_April23__1___1[[#This Row],[General index]])</f>
        <v>134.80000000000001</v>
      </c>
      <c r="P179" s="2">
        <f t="shared" si="32"/>
        <v>1181.4076923076923</v>
      </c>
      <c r="R179" s="10">
        <f t="shared" si="33"/>
        <v>11.698560387542893</v>
      </c>
      <c r="S179" s="10">
        <f t="shared" si="34"/>
        <v>13.221515402095282</v>
      </c>
      <c r="T179" s="10">
        <f t="shared" si="35"/>
        <v>11.113860257971259</v>
      </c>
      <c r="U179" s="10">
        <f t="shared" si="36"/>
        <v>10.639849462505618</v>
      </c>
      <c r="V179" s="10">
        <f t="shared" si="37"/>
        <v>10.842996946276608</v>
      </c>
      <c r="W179" s="10">
        <f t="shared" si="38"/>
        <v>9.7595436994979909</v>
      </c>
      <c r="X179" s="10">
        <f t="shared" si="39"/>
        <v>10.589062591562868</v>
      </c>
      <c r="Y179" s="10">
        <f t="shared" si="40"/>
        <v>11.562477617965531</v>
      </c>
      <c r="Z179" s="10">
        <f t="shared" si="41"/>
        <v>10.572133634581952</v>
      </c>
    </row>
    <row r="180" spans="1:26" hidden="1" x14ac:dyDescent="0.3">
      <c r="A180" s="6" t="s">
        <v>34</v>
      </c>
      <c r="B180" s="6">
        <v>2017</v>
      </c>
      <c r="C180" s="6" t="s">
        <v>52</v>
      </c>
      <c r="D180" s="21">
        <f t="shared" si="31"/>
        <v>43040</v>
      </c>
      <c r="E180" s="4">
        <f>AVERAGE(All_India_Index_Upto_April23__1___1[[#This Row],[Cereals and products]:[Food and beverages]])</f>
        <v>139.09230769230768</v>
      </c>
      <c r="F180" s="5">
        <f>AVERAGE(All_India_Index_Upto_April23__1___1[[#This Row],[Pan, tobacco and intoxicants]])</f>
        <v>153.19999999999999</v>
      </c>
      <c r="G180" s="4">
        <f>AVERAGE(All_India_Index_Upto_April23__1___1[[#This Row],[Clothing]:[Clothing and footwear]])</f>
        <v>139.86666666666667</v>
      </c>
      <c r="H180" s="5">
        <f>AVERAGE(All_India_Index_Upto_April23__1___1[[#This Row],[Housing]:[Fuel and light]])</f>
        <v>135.30000000000001</v>
      </c>
      <c r="I180" s="5">
        <f>AVERAGE(All_India_Index_Upto_April23__1___1[[#This Row],[Household goods and services]:[Health]])</f>
        <v>133.5</v>
      </c>
      <c r="J180" s="5">
        <f>AVERAGE(All_India_Index_Upto_April23__1___1[[#This Row],[Transport and communication]])</f>
        <v>118.3</v>
      </c>
      <c r="K180" s="5">
        <f>AVERAGE(All_India_Index_Upto_April23__1___1[[#This Row],[Recreation and amusement]])</f>
        <v>128.9</v>
      </c>
      <c r="L180" s="5">
        <f>AVERAGE(All_India_Index_Upto_April23__1___1[[#This Row],[Education]])</f>
        <v>138.6</v>
      </c>
      <c r="M180" s="5">
        <f>AVERAGE(All_India_Index_Upto_April23__1___1[[#This Row],[Personal care and effects]])</f>
        <v>126.8</v>
      </c>
      <c r="N180" s="5">
        <f>AVERAGE(All_India_Index_Upto_April23__1___1[[#This Row],[Miscellaneous]])</f>
        <v>128.4</v>
      </c>
      <c r="O180" s="5">
        <f>AVERAGE(All_India_Index_Upto_April23__1___1[[#This Row],[General index]])</f>
        <v>137.6</v>
      </c>
      <c r="P180" s="2">
        <f>AVERAGE(E180:N180)</f>
        <v>134.19589743589742</v>
      </c>
      <c r="R180" s="10">
        <f t="shared" si="33"/>
        <v>103.64870338808171</v>
      </c>
      <c r="S180" s="10">
        <f t="shared" si="34"/>
        <v>114.16146314993007</v>
      </c>
      <c r="T180" s="10">
        <f t="shared" si="35"/>
        <v>104.22573963818682</v>
      </c>
      <c r="U180" s="10">
        <f t="shared" si="36"/>
        <v>100.82275433541477</v>
      </c>
      <c r="V180" s="10">
        <f t="shared" si="37"/>
        <v>99.48143166132941</v>
      </c>
      <c r="W180" s="10">
        <f t="shared" si="38"/>
        <v>88.154706857942088</v>
      </c>
      <c r="X180" s="10">
        <f t="shared" si="39"/>
        <v>96.053607049777995</v>
      </c>
      <c r="Y180" s="10">
        <f t="shared" si="40"/>
        <v>103.28184590457121</v>
      </c>
      <c r="Z180" s="10">
        <f t="shared" si="41"/>
        <v>94.488730596678423</v>
      </c>
    </row>
    <row r="181" spans="1:26" hidden="1" x14ac:dyDescent="0.3">
      <c r="A181" s="5" t="s">
        <v>30</v>
      </c>
      <c r="B181" s="5">
        <v>2017</v>
      </c>
      <c r="C181" s="5" t="s">
        <v>54</v>
      </c>
      <c r="D181" s="21">
        <f t="shared" si="31"/>
        <v>43070</v>
      </c>
      <c r="E181" s="4">
        <f>AVERAGE(All_India_Index_Upto_April23__1___1[[#This Row],[Cereals and products]:[Food and beverages]])</f>
        <v>139.50769230769231</v>
      </c>
      <c r="F181" s="5">
        <f>AVERAGE(All_India_Index_Upto_April23__1___1[[#This Row],[Pan, tobacco and intoxicants]])</f>
        <v>153.19999999999999</v>
      </c>
      <c r="G181" s="4">
        <f>AVERAGE(All_India_Index_Upto_April23__1___1[[#This Row],[Clothing]:[Clothing and footwear]])</f>
        <v>145.69999999999999</v>
      </c>
      <c r="H181" s="5">
        <f>AVERAGE(All_India_Index_Upto_April23__1___1[[#This Row],[Housing]:[Fuel and light]])</f>
        <v>142.6</v>
      </c>
      <c r="I181" s="5">
        <f>AVERAGE(All_India_Index_Upto_April23__1___1[[#This Row],[Household goods and services]:[Health]])</f>
        <v>137.80000000000001</v>
      </c>
      <c r="J181" s="5">
        <f>AVERAGE(All_India_Index_Upto_April23__1___1[[#This Row],[Transport and communication]])</f>
        <v>122</v>
      </c>
      <c r="K181" s="5">
        <f>AVERAGE(All_India_Index_Upto_April23__1___1[[#This Row],[Recreation and amusement]])</f>
        <v>133.4</v>
      </c>
      <c r="L181" s="5">
        <f>AVERAGE(All_India_Index_Upto_April23__1___1[[#This Row],[Education]])</f>
        <v>141.1</v>
      </c>
      <c r="M181" s="5">
        <f>AVERAGE(All_India_Index_Upto_April23__1___1[[#This Row],[Personal care and effects]])</f>
        <v>127.8</v>
      </c>
      <c r="N181" s="5">
        <f>AVERAGE(All_India_Index_Upto_April23__1___1[[#This Row],[Miscellaneous]])</f>
        <v>131.9</v>
      </c>
      <c r="O181" s="5">
        <f>AVERAGE(All_India_Index_Upto_April23__1___1[[#This Row],[General index]])</f>
        <v>139.80000000000001</v>
      </c>
      <c r="P181" s="2">
        <f t="shared" si="32"/>
        <v>1243.1076923076923</v>
      </c>
      <c r="R181" s="10">
        <f t="shared" si="33"/>
        <v>11.222494492710576</v>
      </c>
      <c r="S181" s="10">
        <f t="shared" si="34"/>
        <v>12.323952377416401</v>
      </c>
      <c r="T181" s="10">
        <f t="shared" si="35"/>
        <v>11.720625727085961</v>
      </c>
      <c r="U181" s="10">
        <f t="shared" si="36"/>
        <v>11.471250711616049</v>
      </c>
      <c r="V181" s="10">
        <f t="shared" si="37"/>
        <v>11.085121655404571</v>
      </c>
      <c r="W181" s="10">
        <f t="shared" si="38"/>
        <v>9.8141135120417804</v>
      </c>
      <c r="X181" s="10">
        <f t="shared" si="39"/>
        <v>10.731170020544047</v>
      </c>
      <c r="Y181" s="10">
        <f t="shared" si="40"/>
        <v>11.350585381549962</v>
      </c>
      <c r="Z181" s="10">
        <f t="shared" si="41"/>
        <v>10.280686121630653</v>
      </c>
    </row>
    <row r="182" spans="1:26" hidden="1" x14ac:dyDescent="0.3">
      <c r="A182" s="6" t="s">
        <v>32</v>
      </c>
      <c r="B182" s="6">
        <v>2017</v>
      </c>
      <c r="C182" s="6" t="s">
        <v>54</v>
      </c>
      <c r="D182" s="21">
        <f t="shared" si="31"/>
        <v>43070</v>
      </c>
      <c r="E182" s="4">
        <f>AVERAGE(All_India_Index_Upto_April23__1___1[[#This Row],[Cereals and products]:[Food and beverages]])</f>
        <v>135.96153846153845</v>
      </c>
      <c r="F182" s="5">
        <f>AVERAGE(All_India_Index_Upto_April23__1___1[[#This Row],[Pan, tobacco and intoxicants]])</f>
        <v>157</v>
      </c>
      <c r="G182" s="4">
        <f>AVERAGE(All_India_Index_Upto_April23__1___1[[#This Row],[Clothing]:[Clothing and footwear]])</f>
        <v>131.73333333333332</v>
      </c>
      <c r="H182" s="5">
        <f>AVERAGE(All_India_Index_Upto_April23__1___1[[#This Row],[Housing]:[Fuel and light]])</f>
        <v>126.8</v>
      </c>
      <c r="I182" s="5">
        <f>AVERAGE(All_India_Index_Upto_April23__1___1[[#This Row],[Household goods and services]:[Health]])</f>
        <v>128.75</v>
      </c>
      <c r="J182" s="5">
        <f>AVERAGE(All_India_Index_Upto_April23__1___1[[#This Row],[Transport and communication]])</f>
        <v>115.3</v>
      </c>
      <c r="K182" s="5">
        <f>AVERAGE(All_India_Index_Upto_April23__1___1[[#This Row],[Recreation and amusement]])</f>
        <v>125.6</v>
      </c>
      <c r="L182" s="5">
        <f>AVERAGE(All_India_Index_Upto_April23__1___1[[#This Row],[Education]])</f>
        <v>136.69999999999999</v>
      </c>
      <c r="M182" s="5">
        <f>AVERAGE(All_India_Index_Upto_April23__1___1[[#This Row],[Personal care and effects]])</f>
        <v>124.6</v>
      </c>
      <c r="N182" s="5">
        <f>AVERAGE(All_India_Index_Upto_April23__1___1[[#This Row],[Miscellaneous]])</f>
        <v>125.1</v>
      </c>
      <c r="O182" s="5">
        <f>AVERAGE(All_India_Index_Upto_April23__1___1[[#This Row],[General index]])</f>
        <v>134.1</v>
      </c>
      <c r="P182" s="2">
        <f t="shared" si="32"/>
        <v>1182.4448717948717</v>
      </c>
      <c r="R182" s="10">
        <f t="shared" si="33"/>
        <v>11.498340574233959</v>
      </c>
      <c r="S182" s="10">
        <f t="shared" si="34"/>
        <v>13.277574603684025</v>
      </c>
      <c r="T182" s="10">
        <f t="shared" si="35"/>
        <v>11.140758988059291</v>
      </c>
      <c r="U182" s="10">
        <f t="shared" si="36"/>
        <v>10.723544329599582</v>
      </c>
      <c r="V182" s="10">
        <f t="shared" si="37"/>
        <v>10.88845688040967</v>
      </c>
      <c r="W182" s="10">
        <f t="shared" si="38"/>
        <v>9.7509831325144454</v>
      </c>
      <c r="X182" s="10">
        <f t="shared" si="39"/>
        <v>10.622059682947219</v>
      </c>
      <c r="Y182" s="10">
        <f t="shared" si="40"/>
        <v>11.560792664481566</v>
      </c>
      <c r="Z182" s="10">
        <f t="shared" si="41"/>
        <v>10.53748914407025</v>
      </c>
    </row>
    <row r="183" spans="1:26" hidden="1" x14ac:dyDescent="0.3">
      <c r="A183" s="5" t="s">
        <v>34</v>
      </c>
      <c r="B183" s="5">
        <v>2017</v>
      </c>
      <c r="C183" s="5" t="s">
        <v>54</v>
      </c>
      <c r="D183" s="21">
        <f t="shared" si="31"/>
        <v>43070</v>
      </c>
      <c r="E183" s="4">
        <f>AVERAGE(All_India_Index_Upto_April23__1___1[[#This Row],[Cereals and products]:[Food and beverages]])</f>
        <v>138.07692307692307</v>
      </c>
      <c r="F183" s="5">
        <f>AVERAGE(All_India_Index_Upto_April23__1___1[[#This Row],[Pan, tobacco and intoxicants]])</f>
        <v>154.19999999999999</v>
      </c>
      <c r="G183" s="4">
        <f>AVERAGE(All_India_Index_Upto_April23__1___1[[#This Row],[Clothing]:[Clothing and footwear]])</f>
        <v>140.06666666666666</v>
      </c>
      <c r="H183" s="5">
        <f>AVERAGE(All_India_Index_Upto_April23__1___1[[#This Row],[Housing]:[Fuel and light]])</f>
        <v>136.6</v>
      </c>
      <c r="I183" s="5">
        <f>AVERAGE(All_India_Index_Upto_April23__1___1[[#This Row],[Household goods and services]:[Health]])</f>
        <v>133.89999999999998</v>
      </c>
      <c r="J183" s="5">
        <f>AVERAGE(All_India_Index_Upto_April23__1___1[[#This Row],[Transport and communication]])</f>
        <v>118.5</v>
      </c>
      <c r="K183" s="5">
        <f>AVERAGE(All_India_Index_Upto_April23__1___1[[#This Row],[Recreation and amusement]])</f>
        <v>129</v>
      </c>
      <c r="L183" s="5">
        <f>AVERAGE(All_India_Index_Upto_April23__1___1[[#This Row],[Education]])</f>
        <v>138.5</v>
      </c>
      <c r="M183" s="5">
        <f>AVERAGE(All_India_Index_Upto_April23__1___1[[#This Row],[Personal care and effects]])</f>
        <v>126.5</v>
      </c>
      <c r="N183" s="5">
        <f>AVERAGE(All_India_Index_Upto_April23__1___1[[#This Row],[Miscellaneous]])</f>
        <v>128.6</v>
      </c>
      <c r="O183" s="5">
        <f>AVERAGE(All_India_Index_Upto_April23__1___1[[#This Row],[General index]])</f>
        <v>137.19999999999999</v>
      </c>
      <c r="P183" s="2">
        <f>AVERAGE(E183:N183)</f>
        <v>134.39435897435897</v>
      </c>
      <c r="R183" s="10">
        <f t="shared" si="33"/>
        <v>102.74011806051078</v>
      </c>
      <c r="S183" s="10">
        <f t="shared" si="34"/>
        <v>114.73695858724228</v>
      </c>
      <c r="T183" s="10">
        <f t="shared" si="35"/>
        <v>104.22064418149419</v>
      </c>
      <c r="U183" s="10">
        <f t="shared" si="36"/>
        <v>101.64117083668805</v>
      </c>
      <c r="V183" s="10">
        <f t="shared" si="37"/>
        <v>99.632157943137102</v>
      </c>
      <c r="W183" s="10">
        <f t="shared" si="38"/>
        <v>88.173343661402157</v>
      </c>
      <c r="X183" s="10">
        <f t="shared" si="39"/>
        <v>95.986171580766893</v>
      </c>
      <c r="Y183" s="10">
        <f t="shared" si="40"/>
        <v>103.05492065066835</v>
      </c>
      <c r="Z183" s="10">
        <f t="shared" si="41"/>
        <v>94.125974457108626</v>
      </c>
    </row>
    <row r="184" spans="1:26" hidden="1" x14ac:dyDescent="0.3">
      <c r="A184" s="6" t="s">
        <v>30</v>
      </c>
      <c r="B184" s="6">
        <v>2018</v>
      </c>
      <c r="C184" s="6" t="s">
        <v>31</v>
      </c>
      <c r="D184" s="21">
        <f t="shared" si="31"/>
        <v>43101</v>
      </c>
      <c r="E184" s="4">
        <f>AVERAGE(All_India_Index_Upto_April23__1___1[[#This Row],[Cereals and products]:[Food and beverages]])</f>
        <v>138.51538461538462</v>
      </c>
      <c r="F184" s="5">
        <f>AVERAGE(All_India_Index_Upto_April23__1___1[[#This Row],[Pan, tobacco and intoxicants]])</f>
        <v>153.6</v>
      </c>
      <c r="G184" s="4">
        <f>AVERAGE(All_India_Index_Upto_April23__1___1[[#This Row],[Clothing]:[Clothing and footwear]])</f>
        <v>146.03333333333333</v>
      </c>
      <c r="H184" s="5">
        <f>AVERAGE(All_India_Index_Upto_April23__1___1[[#This Row],[Housing]:[Fuel and light]])</f>
        <v>142.30000000000001</v>
      </c>
      <c r="I184" s="5">
        <f>AVERAGE(All_India_Index_Upto_April23__1___1[[#This Row],[Household goods and services]:[Health]])</f>
        <v>137.9</v>
      </c>
      <c r="J184" s="5">
        <f>AVERAGE(All_India_Index_Upto_April23__1___1[[#This Row],[Transport and communication]])</f>
        <v>122.7</v>
      </c>
      <c r="K184" s="5">
        <f>AVERAGE(All_India_Index_Upto_April23__1___1[[#This Row],[Recreation and amusement]])</f>
        <v>134.30000000000001</v>
      </c>
      <c r="L184" s="5">
        <f>AVERAGE(All_India_Index_Upto_April23__1___1[[#This Row],[Education]])</f>
        <v>141.6</v>
      </c>
      <c r="M184" s="5">
        <f>AVERAGE(All_India_Index_Upto_April23__1___1[[#This Row],[Personal care and effects]])</f>
        <v>128.6</v>
      </c>
      <c r="N184" s="5">
        <f>AVERAGE(All_India_Index_Upto_April23__1___1[[#This Row],[Miscellaneous]])</f>
        <v>132.30000000000001</v>
      </c>
      <c r="O184" s="5">
        <f>AVERAGE(All_India_Index_Upto_April23__1___1[[#This Row],[General index]])</f>
        <v>139.30000000000001</v>
      </c>
      <c r="P184" s="2">
        <f t="shared" si="32"/>
        <v>1245.5487179487179</v>
      </c>
      <c r="R184" s="10">
        <f t="shared" si="33"/>
        <v>11.120832338337136</v>
      </c>
      <c r="S184" s="10">
        <f t="shared" si="34"/>
        <v>12.331914262893092</v>
      </c>
      <c r="T184" s="10">
        <f t="shared" si="35"/>
        <v>11.724417618431996</v>
      </c>
      <c r="U184" s="10">
        <f t="shared" si="36"/>
        <v>11.4246835912089</v>
      </c>
      <c r="V184" s="10">
        <f t="shared" si="37"/>
        <v>11.071425630553108</v>
      </c>
      <c r="W184" s="10">
        <f t="shared" si="38"/>
        <v>9.8510799482876461</v>
      </c>
      <c r="X184" s="10">
        <f t="shared" si="39"/>
        <v>10.782396390016553</v>
      </c>
      <c r="Y184" s="10">
        <f t="shared" si="40"/>
        <v>11.368483461104569</v>
      </c>
      <c r="Z184" s="10">
        <f t="shared" si="41"/>
        <v>10.324766759167002</v>
      </c>
    </row>
    <row r="185" spans="1:26" hidden="1" x14ac:dyDescent="0.3">
      <c r="A185" s="5" t="s">
        <v>32</v>
      </c>
      <c r="B185" s="5">
        <v>2018</v>
      </c>
      <c r="C185" s="5" t="s">
        <v>31</v>
      </c>
      <c r="D185" s="21">
        <f t="shared" si="31"/>
        <v>43101</v>
      </c>
      <c r="E185" s="4">
        <f>AVERAGE(All_India_Index_Upto_April23__1___1[[#This Row],[Cereals and products]:[Food and beverages]])</f>
        <v>134.48461538461541</v>
      </c>
      <c r="F185" s="5">
        <f>AVERAGE(All_India_Index_Upto_April23__1___1[[#This Row],[Pan, tobacco and intoxicants]])</f>
        <v>157.69999999999999</v>
      </c>
      <c r="G185" s="4">
        <f>AVERAGE(All_India_Index_Upto_April23__1___1[[#This Row],[Clothing]:[Clothing and footwear]])</f>
        <v>132.1</v>
      </c>
      <c r="H185" s="5">
        <f>AVERAGE(All_India_Index_Upto_April23__1___1[[#This Row],[Housing]:[Fuel and light]])</f>
        <v>127.3</v>
      </c>
      <c r="I185" s="5">
        <f>AVERAGE(All_India_Index_Upto_April23__1___1[[#This Row],[Household goods and services]:[Health]])</f>
        <v>129.25</v>
      </c>
      <c r="J185" s="5">
        <f>AVERAGE(All_India_Index_Upto_April23__1___1[[#This Row],[Transport and communication]])</f>
        <v>116.3</v>
      </c>
      <c r="K185" s="5">
        <f>AVERAGE(All_India_Index_Upto_April23__1___1[[#This Row],[Recreation and amusement]])</f>
        <v>126.2</v>
      </c>
      <c r="L185" s="5">
        <f>AVERAGE(All_India_Index_Upto_April23__1___1[[#This Row],[Education]])</f>
        <v>137.1</v>
      </c>
      <c r="M185" s="5">
        <f>AVERAGE(All_India_Index_Upto_April23__1___1[[#This Row],[Personal care and effects]])</f>
        <v>125.5</v>
      </c>
      <c r="N185" s="5">
        <f>AVERAGE(All_India_Index_Upto_April23__1___1[[#This Row],[Miscellaneous]])</f>
        <v>125.8</v>
      </c>
      <c r="O185" s="5">
        <f>AVERAGE(All_India_Index_Upto_April23__1___1[[#This Row],[General index]])</f>
        <v>134.1</v>
      </c>
      <c r="P185" s="2">
        <f t="shared" si="32"/>
        <v>1185.9346153846154</v>
      </c>
      <c r="R185" s="10">
        <f t="shared" si="33"/>
        <v>11.339968800978133</v>
      </c>
      <c r="S185" s="10">
        <f t="shared" si="34"/>
        <v>13.297529050440579</v>
      </c>
      <c r="T185" s="10">
        <f t="shared" si="35"/>
        <v>11.138894023863035</v>
      </c>
      <c r="U185" s="10">
        <f t="shared" si="36"/>
        <v>10.734149956379746</v>
      </c>
      <c r="V185" s="10">
        <f t="shared" si="37"/>
        <v>10.898577233794832</v>
      </c>
      <c r="W185" s="10">
        <f t="shared" si="38"/>
        <v>9.8066114683972074</v>
      </c>
      <c r="X185" s="10">
        <f t="shared" si="39"/>
        <v>10.641396107581492</v>
      </c>
      <c r="Y185" s="10">
        <f t="shared" si="40"/>
        <v>11.560502427491462</v>
      </c>
      <c r="Z185" s="10">
        <f t="shared" si="41"/>
        <v>10.582370931073513</v>
      </c>
    </row>
    <row r="186" spans="1:26" hidden="1" x14ac:dyDescent="0.3">
      <c r="A186" s="6" t="s">
        <v>34</v>
      </c>
      <c r="B186" s="6">
        <v>2018</v>
      </c>
      <c r="C186" s="6" t="s">
        <v>31</v>
      </c>
      <c r="D186" s="21">
        <f t="shared" si="31"/>
        <v>43101</v>
      </c>
      <c r="E186" s="4">
        <f>AVERAGE(All_India_Index_Upto_April23__1___1[[#This Row],[Cereals and products]:[Food and beverages]])</f>
        <v>136.91538461538462</v>
      </c>
      <c r="F186" s="5">
        <f>AVERAGE(All_India_Index_Upto_April23__1___1[[#This Row],[Pan, tobacco and intoxicants]])</f>
        <v>154.69999999999999</v>
      </c>
      <c r="G186" s="4">
        <f>AVERAGE(All_India_Index_Upto_April23__1___1[[#This Row],[Clothing]:[Clothing and footwear]])</f>
        <v>140.43333333333334</v>
      </c>
      <c r="H186" s="5">
        <f>AVERAGE(All_India_Index_Upto_April23__1___1[[#This Row],[Housing]:[Fuel and light]])</f>
        <v>136.6</v>
      </c>
      <c r="I186" s="5">
        <f>AVERAGE(All_India_Index_Upto_April23__1___1[[#This Row],[Household goods and services]:[Health]])</f>
        <v>134.10000000000002</v>
      </c>
      <c r="J186" s="5">
        <f>AVERAGE(All_India_Index_Upto_April23__1___1[[#This Row],[Transport and communication]])</f>
        <v>119.3</v>
      </c>
      <c r="K186" s="5">
        <f>AVERAGE(All_India_Index_Upto_April23__1___1[[#This Row],[Recreation and amusement]])</f>
        <v>129.69999999999999</v>
      </c>
      <c r="L186" s="5">
        <f>AVERAGE(All_India_Index_Upto_April23__1___1[[#This Row],[Education]])</f>
        <v>139</v>
      </c>
      <c r="M186" s="5">
        <f>AVERAGE(All_India_Index_Upto_April23__1___1[[#This Row],[Personal care and effects]])</f>
        <v>127.3</v>
      </c>
      <c r="N186" s="5">
        <f>AVERAGE(All_India_Index_Upto_April23__1___1[[#This Row],[Miscellaneous]])</f>
        <v>129.1</v>
      </c>
      <c r="O186" s="5">
        <f>AVERAGE(All_India_Index_Upto_April23__1___1[[#This Row],[General index]])</f>
        <v>136.9</v>
      </c>
      <c r="P186" s="2">
        <f>AVERAGE(E186:N186)</f>
        <v>134.71487179487178</v>
      </c>
      <c r="R186" s="10">
        <f t="shared" si="33"/>
        <v>101.63345946234024</v>
      </c>
      <c r="S186" s="10">
        <f t="shared" si="34"/>
        <v>114.83513136957831</v>
      </c>
      <c r="T186" s="10">
        <f t="shared" si="35"/>
        <v>104.24486284422181</v>
      </c>
      <c r="U186" s="10">
        <f t="shared" si="36"/>
        <v>101.39934676848348</v>
      </c>
      <c r="V186" s="10">
        <f t="shared" si="37"/>
        <v>99.543575414741142</v>
      </c>
      <c r="W186" s="10">
        <f t="shared" si="38"/>
        <v>88.557409000586233</v>
      </c>
      <c r="X186" s="10">
        <f t="shared" si="39"/>
        <v>96.277417832154526</v>
      </c>
      <c r="Y186" s="10">
        <f t="shared" si="40"/>
        <v>103.18088726807618</v>
      </c>
      <c r="Z186" s="10">
        <f t="shared" si="41"/>
        <v>94.495877332561847</v>
      </c>
    </row>
    <row r="187" spans="1:26" hidden="1" x14ac:dyDescent="0.3">
      <c r="A187" s="5" t="s">
        <v>30</v>
      </c>
      <c r="B187" s="5">
        <v>2018</v>
      </c>
      <c r="C187" s="5" t="s">
        <v>35</v>
      </c>
      <c r="D187" s="21">
        <f t="shared" si="31"/>
        <v>43132</v>
      </c>
      <c r="E187" s="4">
        <f>AVERAGE(All_India_Index_Upto_April23__1___1[[#This Row],[Cereals and products]:[Food and beverages]])</f>
        <v>137.03846153846155</v>
      </c>
      <c r="F187" s="5">
        <f>AVERAGE(All_India_Index_Upto_April23__1___1[[#This Row],[Pan, tobacco and intoxicants]])</f>
        <v>153.30000000000001</v>
      </c>
      <c r="G187" s="4">
        <f>AVERAGE(All_India_Index_Upto_April23__1___1[[#This Row],[Clothing]:[Clothing and footwear]])</f>
        <v>146.30000000000001</v>
      </c>
      <c r="H187" s="5">
        <f>AVERAGE(All_India_Index_Upto_April23__1___1[[#This Row],[Housing]:[Fuel and light]])</f>
        <v>142.4</v>
      </c>
      <c r="I187" s="5">
        <f>AVERAGE(All_India_Index_Upto_April23__1___1[[#This Row],[Household goods and services]:[Health]])</f>
        <v>138.05000000000001</v>
      </c>
      <c r="J187" s="5">
        <f>AVERAGE(All_India_Index_Upto_April23__1___1[[#This Row],[Transport and communication]])</f>
        <v>123.3</v>
      </c>
      <c r="K187" s="5">
        <f>AVERAGE(All_India_Index_Upto_April23__1___1[[#This Row],[Recreation and amusement]])</f>
        <v>134.30000000000001</v>
      </c>
      <c r="L187" s="5">
        <f>AVERAGE(All_India_Index_Upto_April23__1___1[[#This Row],[Education]])</f>
        <v>141.5</v>
      </c>
      <c r="M187" s="5">
        <f>AVERAGE(All_India_Index_Upto_April23__1___1[[#This Row],[Personal care and effects]])</f>
        <v>128.80000000000001</v>
      </c>
      <c r="N187" s="5">
        <f>AVERAGE(All_India_Index_Upto_April23__1___1[[#This Row],[Miscellaneous]])</f>
        <v>132.5</v>
      </c>
      <c r="O187" s="5">
        <f>AVERAGE(All_India_Index_Upto_April23__1___1[[#This Row],[General index]])</f>
        <v>138.5</v>
      </c>
      <c r="P187" s="2">
        <f t="shared" si="32"/>
        <v>1244.9884615384615</v>
      </c>
      <c r="R187" s="10">
        <f t="shared" si="33"/>
        <v>11.007207357497908</v>
      </c>
      <c r="S187" s="10">
        <f t="shared" si="34"/>
        <v>12.313367130371923</v>
      </c>
      <c r="T187" s="10">
        <f t="shared" si="35"/>
        <v>11.751112923505627</v>
      </c>
      <c r="U187" s="10">
        <f t="shared" si="36"/>
        <v>11.437857008251544</v>
      </c>
      <c r="V187" s="10">
        <f t="shared" si="37"/>
        <v>11.088456179698918</v>
      </c>
      <c r="W187" s="10">
        <f t="shared" si="38"/>
        <v>9.9037062438020733</v>
      </c>
      <c r="X187" s="10">
        <f t="shared" si="39"/>
        <v>10.787248568877686</v>
      </c>
      <c r="Y187" s="10">
        <f t="shared" si="40"/>
        <v>11.365567181654448</v>
      </c>
      <c r="Z187" s="10">
        <f t="shared" si="41"/>
        <v>10.345477406339882</v>
      </c>
    </row>
    <row r="188" spans="1:26" hidden="1" x14ac:dyDescent="0.3">
      <c r="A188" s="6" t="s">
        <v>32</v>
      </c>
      <c r="B188" s="6">
        <v>2018</v>
      </c>
      <c r="C188" s="6" t="s">
        <v>35</v>
      </c>
      <c r="D188" s="21">
        <f t="shared" si="31"/>
        <v>43132</v>
      </c>
      <c r="E188" s="4">
        <f>AVERAGE(All_India_Index_Upto_April23__1___1[[#This Row],[Cereals and products]:[Food and beverages]])</f>
        <v>132.91538461538462</v>
      </c>
      <c r="F188" s="5">
        <f>AVERAGE(All_India_Index_Upto_April23__1___1[[#This Row],[Pan, tobacco and intoxicants]])</f>
        <v>159.30000000000001</v>
      </c>
      <c r="G188" s="4">
        <f>AVERAGE(All_India_Index_Upto_April23__1___1[[#This Row],[Clothing]:[Clothing and footwear]])</f>
        <v>132.36666666666665</v>
      </c>
      <c r="H188" s="5">
        <f>AVERAGE(All_India_Index_Upto_April23__1___1[[#This Row],[Housing]:[Fuel and light]])</f>
        <v>127.3</v>
      </c>
      <c r="I188" s="5">
        <f>AVERAGE(All_India_Index_Upto_April23__1___1[[#This Row],[Household goods and services]:[Health]])</f>
        <v>129.85000000000002</v>
      </c>
      <c r="J188" s="5">
        <f>AVERAGE(All_India_Index_Upto_April23__1___1[[#This Row],[Transport and communication]])</f>
        <v>117.4</v>
      </c>
      <c r="K188" s="5">
        <f>AVERAGE(All_India_Index_Upto_April23__1___1[[#This Row],[Recreation and amusement]])</f>
        <v>126.5</v>
      </c>
      <c r="L188" s="5">
        <f>AVERAGE(All_India_Index_Upto_April23__1___1[[#This Row],[Education]])</f>
        <v>137.19999999999999</v>
      </c>
      <c r="M188" s="5">
        <f>AVERAGE(All_India_Index_Upto_April23__1___1[[#This Row],[Personal care and effects]])</f>
        <v>126.2</v>
      </c>
      <c r="N188" s="5">
        <f>AVERAGE(All_India_Index_Upto_April23__1___1[[#This Row],[Miscellaneous]])</f>
        <v>126.5</v>
      </c>
      <c r="O188" s="5">
        <f>AVERAGE(All_India_Index_Upto_April23__1___1[[#This Row],[General index]])</f>
        <v>134</v>
      </c>
      <c r="P188" s="2">
        <f t="shared" si="32"/>
        <v>1189.0320512820513</v>
      </c>
      <c r="R188" s="10">
        <f t="shared" si="33"/>
        <v>11.178452630614215</v>
      </c>
      <c r="S188" s="10">
        <f t="shared" si="34"/>
        <v>13.397452140019087</v>
      </c>
      <c r="T188" s="10">
        <f t="shared" si="35"/>
        <v>11.132304341497337</v>
      </c>
      <c r="U188" s="10">
        <f t="shared" si="36"/>
        <v>10.706187428904141</v>
      </c>
      <c r="V188" s="10">
        <f t="shared" si="37"/>
        <v>10.920647585571114</v>
      </c>
      <c r="W188" s="10">
        <f t="shared" si="38"/>
        <v>9.8735774089029551</v>
      </c>
      <c r="X188" s="10">
        <f t="shared" si="39"/>
        <v>10.638905811126266</v>
      </c>
      <c r="Y188" s="10">
        <f t="shared" si="40"/>
        <v>11.538797448905324</v>
      </c>
      <c r="Z188" s="10">
        <f t="shared" si="41"/>
        <v>10.613675204459563</v>
      </c>
    </row>
    <row r="189" spans="1:26" hidden="1" x14ac:dyDescent="0.3">
      <c r="A189" s="5" t="s">
        <v>34</v>
      </c>
      <c r="B189" s="5">
        <v>2018</v>
      </c>
      <c r="C189" s="5" t="s">
        <v>35</v>
      </c>
      <c r="D189" s="21">
        <f t="shared" si="31"/>
        <v>43132</v>
      </c>
      <c r="E189" s="4">
        <f>AVERAGE(All_India_Index_Upto_April23__1___1[[#This Row],[Cereals and products]:[Food and beverages]])</f>
        <v>135.4153846153846</v>
      </c>
      <c r="F189" s="5">
        <f>AVERAGE(All_India_Index_Upto_April23__1___1[[#This Row],[Pan, tobacco and intoxicants]])</f>
        <v>154.9</v>
      </c>
      <c r="G189" s="4">
        <f>AVERAGE(All_India_Index_Upto_April23__1___1[[#This Row],[Clothing]:[Clothing and footwear]])</f>
        <v>140.66666666666666</v>
      </c>
      <c r="H189" s="5">
        <f>AVERAGE(All_India_Index_Upto_April23__1___1[[#This Row],[Housing]:[Fuel and light]])</f>
        <v>136.69999999999999</v>
      </c>
      <c r="I189" s="5">
        <f>AVERAGE(All_India_Index_Upto_April23__1___1[[#This Row],[Household goods and services]:[Health]])</f>
        <v>134.5</v>
      </c>
      <c r="J189" s="5">
        <f>AVERAGE(All_India_Index_Upto_April23__1___1[[#This Row],[Transport and communication]])</f>
        <v>120.2</v>
      </c>
      <c r="K189" s="5">
        <f>AVERAGE(All_India_Index_Upto_April23__1___1[[#This Row],[Recreation and amusement]])</f>
        <v>129.9</v>
      </c>
      <c r="L189" s="5">
        <f>AVERAGE(All_India_Index_Upto_April23__1___1[[#This Row],[Education]])</f>
        <v>139</v>
      </c>
      <c r="M189" s="5">
        <f>AVERAGE(All_India_Index_Upto_April23__1___1[[#This Row],[Personal care and effects]])</f>
        <v>127.7</v>
      </c>
      <c r="N189" s="5">
        <f>AVERAGE(All_India_Index_Upto_April23__1___1[[#This Row],[Miscellaneous]])</f>
        <v>129.6</v>
      </c>
      <c r="O189" s="5">
        <f>AVERAGE(All_India_Index_Upto_April23__1___1[[#This Row],[General index]])</f>
        <v>136.4</v>
      </c>
      <c r="P189" s="2">
        <f>AVERAGE(E189:N189)</f>
        <v>134.85820512820513</v>
      </c>
      <c r="R189" s="10">
        <f t="shared" si="33"/>
        <v>100.41315950086225</v>
      </c>
      <c r="S189" s="10">
        <f t="shared" si="34"/>
        <v>114.8613833713283</v>
      </c>
      <c r="T189" s="10">
        <f t="shared" si="35"/>
        <v>104.30708797654515</v>
      </c>
      <c r="U189" s="10">
        <f t="shared" si="36"/>
        <v>101.36572696488429</v>
      </c>
      <c r="V189" s="10">
        <f t="shared" si="37"/>
        <v>99.734383882786673</v>
      </c>
      <c r="W189" s="10">
        <f t="shared" si="38"/>
        <v>89.130653849152111</v>
      </c>
      <c r="X189" s="10">
        <f t="shared" si="39"/>
        <v>96.323393802037089</v>
      </c>
      <c r="Y189" s="10">
        <f t="shared" si="40"/>
        <v>103.07122200525909</v>
      </c>
      <c r="Z189" s="10">
        <f t="shared" si="41"/>
        <v>94.692050719939473</v>
      </c>
    </row>
    <row r="190" spans="1:26" hidden="1" x14ac:dyDescent="0.3">
      <c r="A190" s="6" t="s">
        <v>30</v>
      </c>
      <c r="B190" s="6">
        <v>2018</v>
      </c>
      <c r="C190" s="6" t="s">
        <v>37</v>
      </c>
      <c r="D190" s="21">
        <f t="shared" si="31"/>
        <v>43160</v>
      </c>
      <c r="E190" s="4">
        <f>AVERAGE(All_India_Index_Upto_April23__1___1[[#This Row],[Cereals and products]:[Food and beverages]])</f>
        <v>137.07692307692307</v>
      </c>
      <c r="F190" s="5">
        <f>AVERAGE(All_India_Index_Upto_April23__1___1[[#This Row],[Pan, tobacco and intoxicants]])</f>
        <v>155.1</v>
      </c>
      <c r="G190" s="4">
        <f>AVERAGE(All_India_Index_Upto_April23__1___1[[#This Row],[Clothing]:[Clothing and footwear]])</f>
        <v>146.83333333333334</v>
      </c>
      <c r="H190" s="5">
        <f>AVERAGE(All_India_Index_Upto_April23__1___1[[#This Row],[Housing]:[Fuel and light]])</f>
        <v>142.6</v>
      </c>
      <c r="I190" s="5">
        <f>AVERAGE(All_India_Index_Upto_April23__1___1[[#This Row],[Household goods and services]:[Health]])</f>
        <v>138.30000000000001</v>
      </c>
      <c r="J190" s="5">
        <f>AVERAGE(All_India_Index_Upto_April23__1___1[[#This Row],[Transport and communication]])</f>
        <v>124.6</v>
      </c>
      <c r="K190" s="5">
        <f>AVERAGE(All_India_Index_Upto_April23__1___1[[#This Row],[Recreation and amusement]])</f>
        <v>135.1</v>
      </c>
      <c r="L190" s="5">
        <f>AVERAGE(All_India_Index_Upto_April23__1___1[[#This Row],[Education]])</f>
        <v>142.69999999999999</v>
      </c>
      <c r="M190" s="5">
        <f>AVERAGE(All_India_Index_Upto_April23__1___1[[#This Row],[Personal care and effects]])</f>
        <v>129.30000000000001</v>
      </c>
      <c r="N190" s="5">
        <f>AVERAGE(All_India_Index_Upto_April23__1___1[[#This Row],[Miscellaneous]])</f>
        <v>133.30000000000001</v>
      </c>
      <c r="O190" s="5">
        <f>AVERAGE(All_India_Index_Upto_April23__1___1[[#This Row],[General index]])</f>
        <v>138.69999999999999</v>
      </c>
      <c r="P190" s="2">
        <f t="shared" si="32"/>
        <v>1251.6102564102564</v>
      </c>
      <c r="R190" s="10">
        <f t="shared" si="33"/>
        <v>10.952045365150124</v>
      </c>
      <c r="S190" s="10">
        <f t="shared" si="34"/>
        <v>12.392036515012455</v>
      </c>
      <c r="T190" s="10">
        <f t="shared" si="35"/>
        <v>11.731554018618068</v>
      </c>
      <c r="U190" s="10">
        <f t="shared" si="36"/>
        <v>11.393323062803198</v>
      </c>
      <c r="V190" s="10">
        <f t="shared" si="37"/>
        <v>11.049765635243215</v>
      </c>
      <c r="W190" s="10">
        <f t="shared" si="38"/>
        <v>9.9551756916218697</v>
      </c>
      <c r="X190" s="10">
        <f t="shared" si="39"/>
        <v>10.794094991477644</v>
      </c>
      <c r="Y190" s="10">
        <f t="shared" si="40"/>
        <v>11.401312770420873</v>
      </c>
      <c r="Z190" s="10">
        <f t="shared" si="41"/>
        <v>10.330691949652552</v>
      </c>
    </row>
    <row r="191" spans="1:26" hidden="1" x14ac:dyDescent="0.3">
      <c r="A191" s="5" t="s">
        <v>32</v>
      </c>
      <c r="B191" s="5">
        <v>2018</v>
      </c>
      <c r="C191" s="5" t="s">
        <v>37</v>
      </c>
      <c r="D191" s="21">
        <f t="shared" si="31"/>
        <v>43160</v>
      </c>
      <c r="E191" s="4">
        <f>AVERAGE(All_India_Index_Upto_April23__1___1[[#This Row],[Cereals and products]:[Food and beverages]])</f>
        <v>131.96153846153845</v>
      </c>
      <c r="F191" s="5">
        <f>AVERAGE(All_India_Index_Upto_April23__1___1[[#This Row],[Pan, tobacco and intoxicants]])</f>
        <v>159.69999999999999</v>
      </c>
      <c r="G191" s="4">
        <f>AVERAGE(All_India_Index_Upto_April23__1___1[[#This Row],[Clothing]:[Clothing and footwear]])</f>
        <v>132.86666666666665</v>
      </c>
      <c r="H191" s="5">
        <f>AVERAGE(All_India_Index_Upto_April23__1___1[[#This Row],[Housing]:[Fuel and light]])</f>
        <v>126.4</v>
      </c>
      <c r="I191" s="5">
        <f>AVERAGE(All_India_Index_Upto_April23__1___1[[#This Row],[Household goods and services]:[Health]])</f>
        <v>130.65</v>
      </c>
      <c r="J191" s="5">
        <f>AVERAGE(All_India_Index_Upto_April23__1___1[[#This Row],[Transport and communication]])</f>
        <v>117.8</v>
      </c>
      <c r="K191" s="5">
        <f>AVERAGE(All_India_Index_Upto_April23__1___1[[#This Row],[Recreation and amusement]])</f>
        <v>126.8</v>
      </c>
      <c r="L191" s="5">
        <f>AVERAGE(All_India_Index_Upto_April23__1___1[[#This Row],[Education]])</f>
        <v>137.80000000000001</v>
      </c>
      <c r="M191" s="5">
        <f>AVERAGE(All_India_Index_Upto_April23__1___1[[#This Row],[Personal care and effects]])</f>
        <v>126.7</v>
      </c>
      <c r="N191" s="5">
        <f>AVERAGE(All_India_Index_Upto_April23__1___1[[#This Row],[Miscellaneous]])</f>
        <v>127.1</v>
      </c>
      <c r="O191" s="5">
        <f>AVERAGE(All_India_Index_Upto_April23__1___1[[#This Row],[General index]])</f>
        <v>134</v>
      </c>
      <c r="P191" s="2">
        <f t="shared" si="32"/>
        <v>1190.678205128205</v>
      </c>
      <c r="R191" s="10">
        <f t="shared" si="33"/>
        <v>11.082888549835312</v>
      </c>
      <c r="S191" s="10">
        <f t="shared" si="34"/>
        <v>13.412523997850826</v>
      </c>
      <c r="T191" s="10">
        <f t="shared" si="35"/>
        <v>11.158906419418365</v>
      </c>
      <c r="U191" s="10">
        <f t="shared" si="36"/>
        <v>10.615798580640856</v>
      </c>
      <c r="V191" s="10">
        <f t="shared" si="37"/>
        <v>10.972738010765251</v>
      </c>
      <c r="W191" s="10">
        <f t="shared" si="38"/>
        <v>9.8935211455656056</v>
      </c>
      <c r="X191" s="10">
        <f t="shared" si="39"/>
        <v>10.64939287994668</v>
      </c>
      <c r="Y191" s="10">
        <f t="shared" si="40"/>
        <v>11.573236110856882</v>
      </c>
      <c r="Z191" s="10">
        <f t="shared" si="41"/>
        <v>10.640994305120225</v>
      </c>
    </row>
    <row r="192" spans="1:26" hidden="1" x14ac:dyDescent="0.3">
      <c r="A192" s="6" t="s">
        <v>34</v>
      </c>
      <c r="B192" s="6">
        <v>2018</v>
      </c>
      <c r="C192" s="6" t="s">
        <v>37</v>
      </c>
      <c r="D192" s="21">
        <f t="shared" si="31"/>
        <v>43160</v>
      </c>
      <c r="E192" s="4">
        <f>AVERAGE(All_India_Index_Upto_April23__1___1[[#This Row],[Cereals and products]:[Food and beverages]])</f>
        <v>135.07692307692307</v>
      </c>
      <c r="F192" s="5">
        <f>AVERAGE(All_India_Index_Upto_April23__1___1[[#This Row],[Pan, tobacco and intoxicants]])</f>
        <v>156.30000000000001</v>
      </c>
      <c r="G192" s="4">
        <f>AVERAGE(All_India_Index_Upto_April23__1___1[[#This Row],[Clothing]:[Clothing and footwear]])</f>
        <v>141.20000000000002</v>
      </c>
      <c r="H192" s="5">
        <f>AVERAGE(All_India_Index_Upto_April23__1___1[[#This Row],[Housing]:[Fuel and light]])</f>
        <v>136.5</v>
      </c>
      <c r="I192" s="5">
        <f>AVERAGE(All_India_Index_Upto_April23__1___1[[#This Row],[Household goods and services]:[Health]])</f>
        <v>134.94999999999999</v>
      </c>
      <c r="J192" s="5">
        <f>AVERAGE(All_India_Index_Upto_April23__1___1[[#This Row],[Transport and communication]])</f>
        <v>121</v>
      </c>
      <c r="K192" s="5">
        <f>AVERAGE(All_India_Index_Upto_April23__1___1[[#This Row],[Recreation and amusement]])</f>
        <v>130.4</v>
      </c>
      <c r="L192" s="5">
        <f>AVERAGE(All_India_Index_Upto_April23__1___1[[#This Row],[Education]])</f>
        <v>139.80000000000001</v>
      </c>
      <c r="M192" s="5">
        <f>AVERAGE(All_India_Index_Upto_April23__1___1[[#This Row],[Personal care and effects]])</f>
        <v>128.19999999999999</v>
      </c>
      <c r="N192" s="5">
        <f>AVERAGE(All_India_Index_Upto_April23__1___1[[#This Row],[Miscellaneous]])</f>
        <v>130.30000000000001</v>
      </c>
      <c r="O192" s="5">
        <f>AVERAGE(All_India_Index_Upto_April23__1___1[[#This Row],[General index]])</f>
        <v>136.5</v>
      </c>
      <c r="P192" s="2">
        <f>AVERAGE(E192:N192)</f>
        <v>135.37269230769232</v>
      </c>
      <c r="R192" s="10">
        <f t="shared" si="33"/>
        <v>99.781514849319095</v>
      </c>
      <c r="S192" s="10">
        <f t="shared" si="34"/>
        <v>115.45903190337785</v>
      </c>
      <c r="T192" s="10">
        <f t="shared" si="35"/>
        <v>104.30464046549555</v>
      </c>
      <c r="U192" s="10">
        <f t="shared" si="36"/>
        <v>100.83274379277721</v>
      </c>
      <c r="V192" s="10">
        <f t="shared" si="37"/>
        <v>99.687756592199861</v>
      </c>
      <c r="W192" s="10">
        <f t="shared" si="38"/>
        <v>89.382871787003964</v>
      </c>
      <c r="X192" s="10">
        <f t="shared" si="39"/>
        <v>96.326665132440638</v>
      </c>
      <c r="Y192" s="10">
        <f t="shared" si="40"/>
        <v>103.2704584778773</v>
      </c>
      <c r="Z192" s="10">
        <f t="shared" si="41"/>
        <v>94.701522009040545</v>
      </c>
    </row>
    <row r="193" spans="1:26" hidden="1" x14ac:dyDescent="0.3">
      <c r="A193" s="5" t="s">
        <v>30</v>
      </c>
      <c r="B193" s="5">
        <v>2018</v>
      </c>
      <c r="C193" s="5" t="s">
        <v>38</v>
      </c>
      <c r="D193" s="21">
        <f t="shared" si="31"/>
        <v>43191</v>
      </c>
      <c r="E193" s="4">
        <f>AVERAGE(All_India_Index_Upto_April23__1___1[[#This Row],[Cereals and products]:[Food and beverages]])</f>
        <v>136.92307692307693</v>
      </c>
      <c r="F193" s="5">
        <f>AVERAGE(All_India_Index_Upto_April23__1___1[[#This Row],[Pan, tobacco and intoxicants]])</f>
        <v>156.1</v>
      </c>
      <c r="G193" s="4">
        <f>AVERAGE(All_India_Index_Upto_April23__1___1[[#This Row],[Clothing]:[Clothing and footwear]])</f>
        <v>147.5</v>
      </c>
      <c r="H193" s="5">
        <f>AVERAGE(All_India_Index_Upto_April23__1___1[[#This Row],[Housing]:[Fuel and light]])</f>
        <v>143.80000000000001</v>
      </c>
      <c r="I193" s="5">
        <f>AVERAGE(All_India_Index_Upto_April23__1___1[[#This Row],[Household goods and services]:[Health]])</f>
        <v>139.25</v>
      </c>
      <c r="J193" s="5">
        <f>AVERAGE(All_India_Index_Upto_April23__1___1[[#This Row],[Transport and communication]])</f>
        <v>125.3</v>
      </c>
      <c r="K193" s="5">
        <f>AVERAGE(All_India_Index_Upto_April23__1___1[[#This Row],[Recreation and amusement]])</f>
        <v>136</v>
      </c>
      <c r="L193" s="5">
        <f>AVERAGE(All_India_Index_Upto_April23__1___1[[#This Row],[Education]])</f>
        <v>143.69999999999999</v>
      </c>
      <c r="M193" s="5">
        <f>AVERAGE(All_India_Index_Upto_April23__1___1[[#This Row],[Personal care and effects]])</f>
        <v>130.4</v>
      </c>
      <c r="N193" s="5">
        <f>AVERAGE(All_India_Index_Upto_April23__1___1[[#This Row],[Miscellaneous]])</f>
        <v>134.19999999999999</v>
      </c>
      <c r="O193" s="5">
        <f>AVERAGE(All_India_Index_Upto_April23__1___1[[#This Row],[General index]])</f>
        <v>139.1</v>
      </c>
      <c r="P193" s="2">
        <f t="shared" si="32"/>
        <v>1258.9730769230771</v>
      </c>
      <c r="R193" s="10">
        <f t="shared" si="33"/>
        <v>10.875774822581285</v>
      </c>
      <c r="S193" s="10">
        <f t="shared" si="34"/>
        <v>12.398994296328201</v>
      </c>
      <c r="T193" s="10">
        <f t="shared" si="35"/>
        <v>11.715897877696412</v>
      </c>
      <c r="U193" s="10">
        <f t="shared" si="36"/>
        <v>11.422007558052503</v>
      </c>
      <c r="V193" s="10">
        <f t="shared" si="37"/>
        <v>11.060601894706611</v>
      </c>
      <c r="W193" s="10">
        <f t="shared" si="38"/>
        <v>9.9525559598329512</v>
      </c>
      <c r="X193" s="10">
        <f t="shared" si="39"/>
        <v>10.802454992316692</v>
      </c>
      <c r="Y193" s="10">
        <f t="shared" si="40"/>
        <v>11.414064576440504</v>
      </c>
      <c r="Z193" s="10">
        <f t="shared" si="41"/>
        <v>10.357648022044827</v>
      </c>
    </row>
    <row r="194" spans="1:26" hidden="1" x14ac:dyDescent="0.3">
      <c r="A194" s="6" t="s">
        <v>32</v>
      </c>
      <c r="B194" s="6">
        <v>2018</v>
      </c>
      <c r="C194" s="6" t="s">
        <v>38</v>
      </c>
      <c r="D194" s="21">
        <f t="shared" si="31"/>
        <v>43191</v>
      </c>
      <c r="E194" s="4">
        <f>AVERAGE(All_India_Index_Upto_April23__1___1[[#This Row],[Cereals and products]:[Food and beverages]])</f>
        <v>132.30769230769232</v>
      </c>
      <c r="F194" s="5">
        <f>AVERAGE(All_India_Index_Upto_April23__1___1[[#This Row],[Pan, tobacco and intoxicants]])</f>
        <v>159.19999999999999</v>
      </c>
      <c r="G194" s="4">
        <f>AVERAGE(All_India_Index_Upto_April23__1___1[[#This Row],[Clothing]:[Clothing and footwear]])</f>
        <v>133.80000000000001</v>
      </c>
      <c r="H194" s="5">
        <f>AVERAGE(All_India_Index_Upto_April23__1___1[[#This Row],[Housing]:[Fuel and light]])</f>
        <v>124.6</v>
      </c>
      <c r="I194" s="5">
        <f>AVERAGE(All_India_Index_Upto_April23__1___1[[#This Row],[Household goods and services]:[Health]])</f>
        <v>131.55000000000001</v>
      </c>
      <c r="J194" s="5">
        <f>AVERAGE(All_India_Index_Upto_April23__1___1[[#This Row],[Transport and communication]])</f>
        <v>118.9</v>
      </c>
      <c r="K194" s="5">
        <f>AVERAGE(All_India_Index_Upto_April23__1___1[[#This Row],[Recreation and amusement]])</f>
        <v>127.6</v>
      </c>
      <c r="L194" s="5">
        <f>AVERAGE(All_India_Index_Upto_April23__1___1[[#This Row],[Education]])</f>
        <v>139.69999999999999</v>
      </c>
      <c r="M194" s="5">
        <f>AVERAGE(All_India_Index_Upto_April23__1___1[[#This Row],[Personal care and effects]])</f>
        <v>127.6</v>
      </c>
      <c r="N194" s="5">
        <f>AVERAGE(All_India_Index_Upto_April23__1___1[[#This Row],[Miscellaneous]])</f>
        <v>128.19999999999999</v>
      </c>
      <c r="O194" s="5">
        <f>AVERAGE(All_India_Index_Upto_April23__1___1[[#This Row],[General index]])</f>
        <v>134.80000000000001</v>
      </c>
      <c r="P194" s="2">
        <f t="shared" si="32"/>
        <v>1195.2576923076922</v>
      </c>
      <c r="R194" s="10">
        <f t="shared" si="33"/>
        <v>11.069386389159726</v>
      </c>
      <c r="S194" s="10">
        <f t="shared" si="34"/>
        <v>13.31930352965405</v>
      </c>
      <c r="T194" s="10">
        <f t="shared" si="35"/>
        <v>11.19423877052583</v>
      </c>
      <c r="U194" s="10">
        <f t="shared" si="36"/>
        <v>10.424530275093559</v>
      </c>
      <c r="V194" s="10">
        <f t="shared" si="37"/>
        <v>11.005994845012504</v>
      </c>
      <c r="W194" s="10">
        <f t="shared" si="38"/>
        <v>9.9476456637931321</v>
      </c>
      <c r="X194" s="10">
        <f t="shared" si="39"/>
        <v>10.675522175777994</v>
      </c>
      <c r="Y194" s="10">
        <f t="shared" si="40"/>
        <v>11.687856175205217</v>
      </c>
      <c r="Z194" s="10">
        <f t="shared" si="41"/>
        <v>10.675522175777994</v>
      </c>
    </row>
    <row r="195" spans="1:26" hidden="1" x14ac:dyDescent="0.3">
      <c r="A195" s="5" t="s">
        <v>34</v>
      </c>
      <c r="B195" s="5">
        <v>2018</v>
      </c>
      <c r="C195" s="5" t="s">
        <v>38</v>
      </c>
      <c r="D195" s="21">
        <f t="shared" si="31"/>
        <v>43191</v>
      </c>
      <c r="E195" s="4">
        <f>AVERAGE(All_India_Index_Upto_April23__1___1[[#This Row],[Cereals and products]:[Food and beverages]])</f>
        <v>135.16153846153847</v>
      </c>
      <c r="F195" s="5">
        <f>AVERAGE(All_India_Index_Upto_April23__1___1[[#This Row],[Pan, tobacco and intoxicants]])</f>
        <v>156.9</v>
      </c>
      <c r="G195" s="4">
        <f>AVERAGE(All_India_Index_Upto_April23__1___1[[#This Row],[Clothing]:[Clothing and footwear]])</f>
        <v>142</v>
      </c>
      <c r="H195" s="5">
        <f>AVERAGE(All_India_Index_Upto_April23__1___1[[#This Row],[Housing]:[Fuel and light]])</f>
        <v>136.5</v>
      </c>
      <c r="I195" s="5">
        <f>AVERAGE(All_India_Index_Upto_April23__1___1[[#This Row],[Household goods and services]:[Health]])</f>
        <v>135.89999999999998</v>
      </c>
      <c r="J195" s="5">
        <f>AVERAGE(All_India_Index_Upto_April23__1___1[[#This Row],[Transport and communication]])</f>
        <v>121.9</v>
      </c>
      <c r="K195" s="5">
        <f>AVERAGE(All_India_Index_Upto_April23__1___1[[#This Row],[Recreation and amusement]])</f>
        <v>131.30000000000001</v>
      </c>
      <c r="L195" s="5">
        <f>AVERAGE(All_India_Index_Upto_April23__1___1[[#This Row],[Education]])</f>
        <v>141.4</v>
      </c>
      <c r="M195" s="5">
        <f>AVERAGE(All_India_Index_Upto_April23__1___1[[#This Row],[Personal care and effects]])</f>
        <v>129.19999999999999</v>
      </c>
      <c r="N195" s="5">
        <f>AVERAGE(All_India_Index_Upto_April23__1___1[[#This Row],[Miscellaneous]])</f>
        <v>131.30000000000001</v>
      </c>
      <c r="O195" s="5">
        <f>AVERAGE(All_India_Index_Upto_April23__1___1[[#This Row],[General index]])</f>
        <v>137.1</v>
      </c>
      <c r="P195" s="2">
        <f>AVERAGE(E195:N195)</f>
        <v>136.15615384615384</v>
      </c>
      <c r="R195" s="10">
        <f t="shared" si="33"/>
        <v>99.269503906713453</v>
      </c>
      <c r="S195" s="10">
        <f t="shared" si="34"/>
        <v>115.23533499432214</v>
      </c>
      <c r="T195" s="10">
        <f t="shared" si="35"/>
        <v>104.29201764941838</v>
      </c>
      <c r="U195" s="10">
        <f t="shared" si="36"/>
        <v>100.25253809257471</v>
      </c>
      <c r="V195" s="10">
        <f t="shared" si="37"/>
        <v>99.811867595464463</v>
      </c>
      <c r="W195" s="10">
        <f t="shared" si="38"/>
        <v>89.529555996226065</v>
      </c>
      <c r="X195" s="10">
        <f t="shared" si="39"/>
        <v>96.433393784286153</v>
      </c>
      <c r="Y195" s="10">
        <f t="shared" si="40"/>
        <v>103.85134715230816</v>
      </c>
      <c r="Z195" s="10">
        <f t="shared" si="41"/>
        <v>94.891047044400366</v>
      </c>
    </row>
    <row r="196" spans="1:26" hidden="1" x14ac:dyDescent="0.3">
      <c r="A196" s="6" t="s">
        <v>30</v>
      </c>
      <c r="B196" s="6">
        <v>2018</v>
      </c>
      <c r="C196" s="6" t="s">
        <v>40</v>
      </c>
      <c r="D196" s="21">
        <f t="shared" si="31"/>
        <v>43221</v>
      </c>
      <c r="E196" s="4">
        <f>AVERAGE(All_India_Index_Upto_April23__1___1[[#This Row],[Cereals and products]:[Food and beverages]])</f>
        <v>137.1076923076923</v>
      </c>
      <c r="F196" s="5">
        <f>AVERAGE(All_India_Index_Upto_April23__1___1[[#This Row],[Pan, tobacco and intoxicants]])</f>
        <v>157</v>
      </c>
      <c r="G196" s="4">
        <f>AVERAGE(All_India_Index_Upto_April23__1___1[[#This Row],[Clothing]:[Clothing and footwear]])</f>
        <v>148.23333333333332</v>
      </c>
      <c r="H196" s="5">
        <f>AVERAGE(All_India_Index_Upto_April23__1___1[[#This Row],[Housing]:[Fuel and light]])</f>
        <v>144.30000000000001</v>
      </c>
      <c r="I196" s="5">
        <f>AVERAGE(All_India_Index_Upto_April23__1___1[[#This Row],[Household goods and services]:[Health]])</f>
        <v>140.10000000000002</v>
      </c>
      <c r="J196" s="5">
        <f>AVERAGE(All_India_Index_Upto_April23__1___1[[#This Row],[Transport and communication]])</f>
        <v>126.4</v>
      </c>
      <c r="K196" s="5">
        <f>AVERAGE(All_India_Index_Upto_April23__1___1[[#This Row],[Recreation and amusement]])</f>
        <v>136.80000000000001</v>
      </c>
      <c r="L196" s="5">
        <f>AVERAGE(All_India_Index_Upto_April23__1___1[[#This Row],[Education]])</f>
        <v>144.4</v>
      </c>
      <c r="M196" s="5">
        <f>AVERAGE(All_India_Index_Upto_April23__1___1[[#This Row],[Personal care and effects]])</f>
        <v>131.19999999999999</v>
      </c>
      <c r="N196" s="5">
        <f>AVERAGE(All_India_Index_Upto_April23__1___1[[#This Row],[Miscellaneous]])</f>
        <v>135.1</v>
      </c>
      <c r="O196" s="5">
        <f>AVERAGE(All_India_Index_Upto_April23__1___1[[#This Row],[General index]])</f>
        <v>139.80000000000001</v>
      </c>
      <c r="P196" s="2">
        <f t="shared" si="32"/>
        <v>1265.5410256410257</v>
      </c>
      <c r="R196" s="10">
        <f t="shared" si="33"/>
        <v>10.833919211607075</v>
      </c>
      <c r="S196" s="10">
        <f t="shared" si="34"/>
        <v>12.405761395248003</v>
      </c>
      <c r="T196" s="10">
        <f t="shared" si="35"/>
        <v>11.7130405360229</v>
      </c>
      <c r="U196" s="10">
        <f t="shared" si="36"/>
        <v>11.402238021237498</v>
      </c>
      <c r="V196" s="10">
        <f t="shared" si="37"/>
        <v>11.070364149517488</v>
      </c>
      <c r="W196" s="10">
        <f t="shared" si="38"/>
        <v>9.9878231870022152</v>
      </c>
      <c r="X196" s="10">
        <f t="shared" si="39"/>
        <v>10.809606107451764</v>
      </c>
      <c r="Y196" s="10">
        <f t="shared" si="40"/>
        <v>11.410139780087974</v>
      </c>
      <c r="Z196" s="10">
        <f t="shared" si="41"/>
        <v>10.367107611825082</v>
      </c>
    </row>
    <row r="197" spans="1:26" hidden="1" x14ac:dyDescent="0.3">
      <c r="A197" s="5" t="s">
        <v>32</v>
      </c>
      <c r="B197" s="5">
        <v>2018</v>
      </c>
      <c r="C197" s="5" t="s">
        <v>40</v>
      </c>
      <c r="D197" s="21">
        <f t="shared" ref="D197:D260" si="42">DATE(B197,MONTH(1&amp;C197),1)</f>
        <v>43221</v>
      </c>
      <c r="E197" s="4">
        <f>AVERAGE(All_India_Index_Upto_April23__1___1[[#This Row],[Cereals and products]:[Food and beverages]])</f>
        <v>132.53076923076921</v>
      </c>
      <c r="F197" s="5">
        <f>AVERAGE(All_India_Index_Upto_April23__1___1[[#This Row],[Pan, tobacco and intoxicants]])</f>
        <v>160.30000000000001</v>
      </c>
      <c r="G197" s="4">
        <f>AVERAGE(All_India_Index_Upto_April23__1___1[[#This Row],[Clothing]:[Clothing and footwear]])</f>
        <v>134.5</v>
      </c>
      <c r="H197" s="5">
        <f>AVERAGE(All_India_Index_Upto_April23__1___1[[#This Row],[Housing]:[Fuel and light]])</f>
        <v>124.7</v>
      </c>
      <c r="I197" s="5">
        <f>AVERAGE(All_India_Index_Upto_April23__1___1[[#This Row],[Household goods and services]:[Health]])</f>
        <v>132.25</v>
      </c>
      <c r="J197" s="5">
        <f>AVERAGE(All_India_Index_Upto_April23__1___1[[#This Row],[Transport and communication]])</f>
        <v>119.8</v>
      </c>
      <c r="K197" s="5">
        <f>AVERAGE(All_India_Index_Upto_April23__1___1[[#This Row],[Recreation and amusement]])</f>
        <v>128</v>
      </c>
      <c r="L197" s="5">
        <f>AVERAGE(All_India_Index_Upto_April23__1___1[[#This Row],[Education]])</f>
        <v>140.4</v>
      </c>
      <c r="M197" s="5">
        <f>AVERAGE(All_India_Index_Upto_April23__1___1[[#This Row],[Personal care and effects]])</f>
        <v>128.1</v>
      </c>
      <c r="N197" s="5">
        <f>AVERAGE(All_India_Index_Upto_April23__1___1[[#This Row],[Miscellaneous]])</f>
        <v>128.9</v>
      </c>
      <c r="O197" s="5">
        <f>AVERAGE(All_India_Index_Upto_April23__1___1[[#This Row],[General index]])</f>
        <v>135.4</v>
      </c>
      <c r="P197" s="2">
        <f t="shared" ref="P197:P260" si="43">SUM(E197:M197)</f>
        <v>1200.5807692307692</v>
      </c>
      <c r="R197" s="10">
        <f t="shared" ref="R197:R260" si="44">E197/P197*100</f>
        <v>11.038888230375681</v>
      </c>
      <c r="S197" s="10">
        <f t="shared" ref="S197:S260" si="45">F197/P197*100</f>
        <v>13.351871369945956</v>
      </c>
      <c r="T197" s="10">
        <f t="shared" ref="T197:T260" si="46">G197/P197*100</f>
        <v>11.202911411464324</v>
      </c>
      <c r="U197" s="10">
        <f t="shared" ref="U197:U260" si="47">H197/P197*100</f>
        <v>10.38663979932789</v>
      </c>
      <c r="V197" s="10">
        <f t="shared" ref="V197:V260" si="48">I197/P197*100</f>
        <v>11.015502112759529</v>
      </c>
      <c r="W197" s="10">
        <f t="shared" ref="W197:W260" si="49">J197/P197*100</f>
        <v>9.9785039932596735</v>
      </c>
      <c r="X197" s="10">
        <f t="shared" ref="X197:X260" si="50">K197/P197*100</f>
        <v>10.661506770761587</v>
      </c>
      <c r="Y197" s="10">
        <f t="shared" ref="Y197:Y260" si="51">L197/P197*100</f>
        <v>11.694340239179116</v>
      </c>
      <c r="Z197" s="10">
        <f t="shared" ref="Z197:Z260" si="52">M197/P197*100</f>
        <v>10.669836072926243</v>
      </c>
    </row>
    <row r="198" spans="1:26" hidden="1" x14ac:dyDescent="0.3">
      <c r="A198" s="6" t="s">
        <v>34</v>
      </c>
      <c r="B198" s="6">
        <v>2018</v>
      </c>
      <c r="C198" s="6" t="s">
        <v>40</v>
      </c>
      <c r="D198" s="21">
        <f t="shared" si="42"/>
        <v>43221</v>
      </c>
      <c r="E198" s="4">
        <f>AVERAGE(All_India_Index_Upto_April23__1___1[[#This Row],[Cereals and products]:[Food and beverages]])</f>
        <v>135.36923076923077</v>
      </c>
      <c r="F198" s="5">
        <f>AVERAGE(All_India_Index_Upto_April23__1___1[[#This Row],[Pan, tobacco and intoxicants]])</f>
        <v>157.9</v>
      </c>
      <c r="G198" s="4">
        <f>AVERAGE(All_India_Index_Upto_April23__1___1[[#This Row],[Clothing]:[Clothing and footwear]])</f>
        <v>142.69999999999999</v>
      </c>
      <c r="H198" s="5">
        <f>AVERAGE(All_India_Index_Upto_April23__1___1[[#This Row],[Housing]:[Fuel and light]])</f>
        <v>136.9</v>
      </c>
      <c r="I198" s="5">
        <f>AVERAGE(All_India_Index_Upto_April23__1___1[[#This Row],[Household goods and services]:[Health]])</f>
        <v>136.69999999999999</v>
      </c>
      <c r="J198" s="5">
        <f>AVERAGE(All_India_Index_Upto_April23__1___1[[#This Row],[Transport and communication]])</f>
        <v>122.9</v>
      </c>
      <c r="K198" s="5">
        <f>AVERAGE(All_India_Index_Upto_April23__1___1[[#This Row],[Recreation and amusement]])</f>
        <v>131.80000000000001</v>
      </c>
      <c r="L198" s="5">
        <f>AVERAGE(All_India_Index_Upto_April23__1___1[[#This Row],[Education]])</f>
        <v>142.1</v>
      </c>
      <c r="M198" s="5">
        <f>AVERAGE(All_India_Index_Upto_April23__1___1[[#This Row],[Personal care and effects]])</f>
        <v>129.9</v>
      </c>
      <c r="N198" s="5">
        <f>AVERAGE(All_India_Index_Upto_April23__1___1[[#This Row],[Miscellaneous]])</f>
        <v>132.1</v>
      </c>
      <c r="O198" s="5">
        <f>AVERAGE(All_India_Index_Upto_April23__1___1[[#This Row],[General index]])</f>
        <v>137.80000000000001</v>
      </c>
      <c r="P198" s="2">
        <f>AVERAGE(E198:N198)</f>
        <v>136.83692307692306</v>
      </c>
      <c r="R198" s="10">
        <f t="shared" si="44"/>
        <v>98.927415002698339</v>
      </c>
      <c r="S198" s="10">
        <f t="shared" si="45"/>
        <v>115.39283144450442</v>
      </c>
      <c r="T198" s="10">
        <f t="shared" si="46"/>
        <v>104.28471847454578</v>
      </c>
      <c r="U198" s="10">
        <f t="shared" si="47"/>
        <v>100.04609642021948</v>
      </c>
      <c r="V198" s="10">
        <f t="shared" si="48"/>
        <v>99.899937039035805</v>
      </c>
      <c r="W198" s="10">
        <f t="shared" si="49"/>
        <v>89.814939737362849</v>
      </c>
      <c r="X198" s="10">
        <f t="shared" si="50"/>
        <v>96.319032200036006</v>
      </c>
      <c r="Y198" s="10">
        <f t="shared" si="51"/>
        <v>103.84624033099479</v>
      </c>
      <c r="Z198" s="10">
        <f t="shared" si="52"/>
        <v>94.930518078791167</v>
      </c>
    </row>
    <row r="199" spans="1:26" hidden="1" x14ac:dyDescent="0.3">
      <c r="A199" s="5" t="s">
        <v>30</v>
      </c>
      <c r="B199" s="5">
        <v>2018</v>
      </c>
      <c r="C199" s="5" t="s">
        <v>41</v>
      </c>
      <c r="D199" s="21">
        <f t="shared" si="42"/>
        <v>43252</v>
      </c>
      <c r="E199" s="4">
        <f>AVERAGE(All_India_Index_Upto_April23__1___1[[#This Row],[Cereals and products]:[Food and beverages]])</f>
        <v>137.71538461538461</v>
      </c>
      <c r="F199" s="5">
        <f>AVERAGE(All_India_Index_Upto_April23__1___1[[#This Row],[Pan, tobacco and intoxicants]])</f>
        <v>157.30000000000001</v>
      </c>
      <c r="G199" s="4">
        <f>AVERAGE(All_India_Index_Upto_April23__1___1[[#This Row],[Clothing]:[Clothing and footwear]])</f>
        <v>148.76666666666668</v>
      </c>
      <c r="H199" s="5">
        <f>AVERAGE(All_India_Index_Upto_April23__1___1[[#This Row],[Housing]:[Fuel and light]])</f>
        <v>145.1</v>
      </c>
      <c r="I199" s="5">
        <f>AVERAGE(All_India_Index_Upto_April23__1___1[[#This Row],[Household goods and services]:[Health]])</f>
        <v>140.30000000000001</v>
      </c>
      <c r="J199" s="5">
        <f>AVERAGE(All_India_Index_Upto_April23__1___1[[#This Row],[Transport and communication]])</f>
        <v>127.4</v>
      </c>
      <c r="K199" s="5">
        <f>AVERAGE(All_India_Index_Upto_April23__1___1[[#This Row],[Recreation and amusement]])</f>
        <v>137.80000000000001</v>
      </c>
      <c r="L199" s="5">
        <f>AVERAGE(All_India_Index_Upto_April23__1___1[[#This Row],[Education]])</f>
        <v>145.1</v>
      </c>
      <c r="M199" s="5">
        <f>AVERAGE(All_India_Index_Upto_April23__1___1[[#This Row],[Personal care and effects]])</f>
        <v>131.4</v>
      </c>
      <c r="N199" s="5">
        <f>AVERAGE(All_India_Index_Upto_April23__1___1[[#This Row],[Miscellaneous]])</f>
        <v>135.6</v>
      </c>
      <c r="O199" s="5">
        <f>AVERAGE(All_India_Index_Upto_April23__1___1[[#This Row],[General index]])</f>
        <v>140.5</v>
      </c>
      <c r="P199" s="2">
        <f t="shared" si="43"/>
        <v>1270.8820512820514</v>
      </c>
      <c r="R199" s="10">
        <f t="shared" si="44"/>
        <v>10.836205018117841</v>
      </c>
      <c r="S199" s="10">
        <f t="shared" si="45"/>
        <v>12.377230431519397</v>
      </c>
      <c r="T199" s="10">
        <f t="shared" si="46"/>
        <v>11.705780761998531</v>
      </c>
      <c r="U199" s="10">
        <f t="shared" si="47"/>
        <v>11.417267232126282</v>
      </c>
      <c r="V199" s="10">
        <f t="shared" si="48"/>
        <v>11.039576793020798</v>
      </c>
      <c r="W199" s="10">
        <f t="shared" si="49"/>
        <v>10.0245337379248</v>
      </c>
      <c r="X199" s="10">
        <f t="shared" si="50"/>
        <v>10.842863022653356</v>
      </c>
      <c r="Y199" s="10">
        <f t="shared" si="51"/>
        <v>11.417267232126282</v>
      </c>
      <c r="Z199" s="10">
        <f t="shared" si="52"/>
        <v>10.339275770512705</v>
      </c>
    </row>
    <row r="200" spans="1:26" hidden="1" x14ac:dyDescent="0.3">
      <c r="A200" s="6" t="s">
        <v>32</v>
      </c>
      <c r="B200" s="6">
        <v>2018</v>
      </c>
      <c r="C200" s="6" t="s">
        <v>41</v>
      </c>
      <c r="D200" s="21">
        <f t="shared" si="42"/>
        <v>43252</v>
      </c>
      <c r="E200" s="4">
        <f>AVERAGE(All_India_Index_Upto_April23__1___1[[#This Row],[Cereals and products]:[Food and beverages]])</f>
        <v>134.40769230769232</v>
      </c>
      <c r="F200" s="5">
        <f>AVERAGE(All_India_Index_Upto_April23__1___1[[#This Row],[Pan, tobacco and intoxicants]])</f>
        <v>161</v>
      </c>
      <c r="G200" s="4">
        <f>AVERAGE(All_India_Index_Upto_April23__1___1[[#This Row],[Clothing]:[Clothing and footwear]])</f>
        <v>135</v>
      </c>
      <c r="H200" s="5">
        <f>AVERAGE(All_India_Index_Upto_April23__1___1[[#This Row],[Housing]:[Fuel and light]])</f>
        <v>126.5</v>
      </c>
      <c r="I200" s="5">
        <f>AVERAGE(All_India_Index_Upto_April23__1___1[[#This Row],[Household goods and services]:[Health]])</f>
        <v>132.85</v>
      </c>
      <c r="J200" s="5">
        <f>AVERAGE(All_India_Index_Upto_April23__1___1[[#This Row],[Transport and communication]])</f>
        <v>120.4</v>
      </c>
      <c r="K200" s="5">
        <f>AVERAGE(All_India_Index_Upto_April23__1___1[[#This Row],[Recreation and amusement]])</f>
        <v>128.5</v>
      </c>
      <c r="L200" s="5">
        <f>AVERAGE(All_India_Index_Upto_April23__1___1[[#This Row],[Education]])</f>
        <v>141.19999999999999</v>
      </c>
      <c r="M200" s="5">
        <f>AVERAGE(All_India_Index_Upto_April23__1___1[[#This Row],[Personal care and effects]])</f>
        <v>128.19999999999999</v>
      </c>
      <c r="N200" s="5">
        <f>AVERAGE(All_India_Index_Upto_April23__1___1[[#This Row],[Miscellaneous]])</f>
        <v>129.5</v>
      </c>
      <c r="O200" s="5">
        <f>AVERAGE(All_India_Index_Upto_April23__1___1[[#This Row],[General index]])</f>
        <v>136.19999999999999</v>
      </c>
      <c r="P200" s="2">
        <f t="shared" si="43"/>
        <v>1208.0576923076924</v>
      </c>
      <c r="R200" s="10">
        <f t="shared" si="44"/>
        <v>11.125933236759579</v>
      </c>
      <c r="S200" s="10">
        <f t="shared" si="45"/>
        <v>13.327178083064039</v>
      </c>
      <c r="T200" s="10">
        <f t="shared" si="46"/>
        <v>11.17496298890463</v>
      </c>
      <c r="U200" s="10">
        <f t="shared" si="47"/>
        <v>10.471354208121745</v>
      </c>
      <c r="V200" s="10">
        <f t="shared" si="48"/>
        <v>10.996991356118372</v>
      </c>
      <c r="W200" s="10">
        <f t="shared" si="49"/>
        <v>9.9664114360305014</v>
      </c>
      <c r="X200" s="10">
        <f t="shared" si="50"/>
        <v>10.636909215364778</v>
      </c>
      <c r="Y200" s="10">
        <f t="shared" si="51"/>
        <v>11.688183511358027</v>
      </c>
      <c r="Z200" s="10">
        <f t="shared" si="52"/>
        <v>10.612075964278322</v>
      </c>
    </row>
    <row r="201" spans="1:26" hidden="1" x14ac:dyDescent="0.3">
      <c r="A201" s="5" t="s">
        <v>34</v>
      </c>
      <c r="B201" s="5">
        <v>2018</v>
      </c>
      <c r="C201" s="5" t="s">
        <v>41</v>
      </c>
      <c r="D201" s="21">
        <f t="shared" si="42"/>
        <v>43252</v>
      </c>
      <c r="E201" s="4">
        <f>AVERAGE(All_India_Index_Upto_April23__1___1[[#This Row],[Cereals and products]:[Food and beverages]])</f>
        <v>136.46923076923079</v>
      </c>
      <c r="F201" s="5">
        <f>AVERAGE(All_India_Index_Upto_April23__1___1[[#This Row],[Pan, tobacco and intoxicants]])</f>
        <v>158.30000000000001</v>
      </c>
      <c r="G201" s="4">
        <f>AVERAGE(All_India_Index_Upto_April23__1___1[[#This Row],[Clothing]:[Clothing and footwear]])</f>
        <v>143.23333333333332</v>
      </c>
      <c r="H201" s="5">
        <f>AVERAGE(All_India_Index_Upto_April23__1___1[[#This Row],[Housing]:[Fuel and light]])</f>
        <v>138.1</v>
      </c>
      <c r="I201" s="5">
        <f>AVERAGE(All_India_Index_Upto_April23__1___1[[#This Row],[Household goods and services]:[Health]])</f>
        <v>137.05000000000001</v>
      </c>
      <c r="J201" s="5">
        <f>AVERAGE(All_India_Index_Upto_April23__1___1[[#This Row],[Transport and communication]])</f>
        <v>123.7</v>
      </c>
      <c r="K201" s="5">
        <f>AVERAGE(All_India_Index_Upto_April23__1___1[[#This Row],[Recreation and amusement]])</f>
        <v>132.6</v>
      </c>
      <c r="L201" s="5">
        <f>AVERAGE(All_India_Index_Upto_April23__1___1[[#This Row],[Education]])</f>
        <v>142.80000000000001</v>
      </c>
      <c r="M201" s="5">
        <f>AVERAGE(All_India_Index_Upto_April23__1___1[[#This Row],[Personal care and effects]])</f>
        <v>130.1</v>
      </c>
      <c r="N201" s="5">
        <f>AVERAGE(All_India_Index_Upto_April23__1___1[[#This Row],[Miscellaneous]])</f>
        <v>132.6</v>
      </c>
      <c r="O201" s="5">
        <f>AVERAGE(All_India_Index_Upto_April23__1___1[[#This Row],[General index]])</f>
        <v>138.5</v>
      </c>
      <c r="P201" s="2">
        <f>AVERAGE(E201:N201)</f>
        <v>137.49525641025642</v>
      </c>
      <c r="R201" s="10">
        <f t="shared" si="44"/>
        <v>99.253773789865022</v>
      </c>
      <c r="S201" s="10">
        <f t="shared" si="45"/>
        <v>115.13124462102655</v>
      </c>
      <c r="T201" s="10">
        <f t="shared" si="46"/>
        <v>104.17329082681638</v>
      </c>
      <c r="U201" s="10">
        <f t="shared" si="47"/>
        <v>100.43982869339081</v>
      </c>
      <c r="V201" s="10">
        <f t="shared" si="48"/>
        <v>99.676165984281056</v>
      </c>
      <c r="W201" s="10">
        <f t="shared" si="49"/>
        <v>89.966740111313854</v>
      </c>
      <c r="X201" s="10">
        <f t="shared" si="50"/>
        <v>96.439690693291979</v>
      </c>
      <c r="Y201" s="10">
        <f t="shared" si="51"/>
        <v>103.85812843892982</v>
      </c>
      <c r="Z201" s="10">
        <f t="shared" si="52"/>
        <v>94.621446147792497</v>
      </c>
    </row>
    <row r="202" spans="1:26" hidden="1" x14ac:dyDescent="0.3">
      <c r="A202" s="6" t="s">
        <v>30</v>
      </c>
      <c r="B202" s="6">
        <v>2018</v>
      </c>
      <c r="C202" s="6" t="s">
        <v>43</v>
      </c>
      <c r="D202" s="21">
        <f t="shared" si="42"/>
        <v>43282</v>
      </c>
      <c r="E202" s="4">
        <f>AVERAGE(All_India_Index_Upto_April23__1___1[[#This Row],[Cereals and products]:[Food and beverages]])</f>
        <v>139.26923076923077</v>
      </c>
      <c r="F202" s="5">
        <f>AVERAGE(All_India_Index_Upto_April23__1___1[[#This Row],[Pan, tobacco and intoxicants]])</f>
        <v>156.1</v>
      </c>
      <c r="G202" s="4">
        <f>AVERAGE(All_India_Index_Upto_April23__1___1[[#This Row],[Clothing]:[Clothing and footwear]])</f>
        <v>149.06666666666669</v>
      </c>
      <c r="H202" s="5">
        <f>AVERAGE(All_India_Index_Upto_April23__1___1[[#This Row],[Housing]:[Fuel and light]])</f>
        <v>146.80000000000001</v>
      </c>
      <c r="I202" s="5">
        <f>AVERAGE(All_India_Index_Upto_April23__1___1[[#This Row],[Household goods and services]:[Health]])</f>
        <v>141.05000000000001</v>
      </c>
      <c r="J202" s="5">
        <f>AVERAGE(All_India_Index_Upto_April23__1___1[[#This Row],[Transport and communication]])</f>
        <v>127.5</v>
      </c>
      <c r="K202" s="5">
        <f>AVERAGE(All_India_Index_Upto_April23__1___1[[#This Row],[Recreation and amusement]])</f>
        <v>138.4</v>
      </c>
      <c r="L202" s="5">
        <f>AVERAGE(All_India_Index_Upto_April23__1___1[[#This Row],[Education]])</f>
        <v>145.80000000000001</v>
      </c>
      <c r="M202" s="5">
        <f>AVERAGE(All_India_Index_Upto_April23__1___1[[#This Row],[Personal care and effects]])</f>
        <v>131.4</v>
      </c>
      <c r="N202" s="5">
        <f>AVERAGE(All_India_Index_Upto_April23__1___1[[#This Row],[Miscellaneous]])</f>
        <v>136</v>
      </c>
      <c r="O202" s="5">
        <f>AVERAGE(All_India_Index_Upto_April23__1___1[[#This Row],[General index]])</f>
        <v>141.80000000000001</v>
      </c>
      <c r="P202" s="2">
        <f t="shared" si="43"/>
        <v>1275.3858974358975</v>
      </c>
      <c r="R202" s="10">
        <f t="shared" si="44"/>
        <v>10.919771894077309</v>
      </c>
      <c r="S202" s="10">
        <f t="shared" si="45"/>
        <v>12.239432811185351</v>
      </c>
      <c r="T202" s="10">
        <f t="shared" si="46"/>
        <v>11.687965733850289</v>
      </c>
      <c r="U202" s="10">
        <f t="shared" si="47"/>
        <v>11.51024174684183</v>
      </c>
      <c r="V202" s="10">
        <f t="shared" si="48"/>
        <v>11.059397809210084</v>
      </c>
      <c r="W202" s="10">
        <f t="shared" si="49"/>
        <v>9.9969742692257046</v>
      </c>
      <c r="X202" s="10">
        <f t="shared" si="50"/>
        <v>10.851617559692842</v>
      </c>
      <c r="Y202" s="10">
        <f t="shared" si="51"/>
        <v>11.431834105514572</v>
      </c>
      <c r="Z202" s="10">
        <f t="shared" si="52"/>
        <v>10.30276407040202</v>
      </c>
    </row>
    <row r="203" spans="1:26" hidden="1" x14ac:dyDescent="0.3">
      <c r="A203" s="5" t="s">
        <v>32</v>
      </c>
      <c r="B203" s="5">
        <v>2018</v>
      </c>
      <c r="C203" s="5" t="s">
        <v>43</v>
      </c>
      <c r="D203" s="21">
        <f t="shared" si="42"/>
        <v>43282</v>
      </c>
      <c r="E203" s="4">
        <f>AVERAGE(All_India_Index_Upto_April23__1___1[[#This Row],[Cereals and products]:[Food and beverages]])</f>
        <v>136.23846153846154</v>
      </c>
      <c r="F203" s="5">
        <f>AVERAGE(All_India_Index_Upto_April23__1___1[[#This Row],[Pan, tobacco and intoxicants]])</f>
        <v>161.4</v>
      </c>
      <c r="G203" s="4">
        <f>AVERAGE(All_India_Index_Upto_April23__1___1[[#This Row],[Clothing]:[Clothing and footwear]])</f>
        <v>135.46666666666667</v>
      </c>
      <c r="H203" s="5">
        <f>AVERAGE(All_India_Index_Upto_April23__1___1[[#This Row],[Housing]:[Fuel and light]])</f>
        <v>128.1</v>
      </c>
      <c r="I203" s="5">
        <f>AVERAGE(All_India_Index_Upto_April23__1___1[[#This Row],[Household goods and services]:[Health]])</f>
        <v>133.6</v>
      </c>
      <c r="J203" s="5">
        <f>AVERAGE(All_India_Index_Upto_April23__1___1[[#This Row],[Transport and communication]])</f>
        <v>120.1</v>
      </c>
      <c r="K203" s="5">
        <f>AVERAGE(All_India_Index_Upto_April23__1___1[[#This Row],[Recreation and amusement]])</f>
        <v>129</v>
      </c>
      <c r="L203" s="5">
        <f>AVERAGE(All_India_Index_Upto_April23__1___1[[#This Row],[Education]])</f>
        <v>144</v>
      </c>
      <c r="M203" s="5">
        <f>AVERAGE(All_India_Index_Upto_April23__1___1[[#This Row],[Personal care and effects]])</f>
        <v>128.19999999999999</v>
      </c>
      <c r="N203" s="5">
        <f>AVERAGE(All_India_Index_Upto_April23__1___1[[#This Row],[Miscellaneous]])</f>
        <v>130.19999999999999</v>
      </c>
      <c r="O203" s="5">
        <f>AVERAGE(All_India_Index_Upto_April23__1___1[[#This Row],[General index]])</f>
        <v>137.5</v>
      </c>
      <c r="P203" s="2">
        <f t="shared" si="43"/>
        <v>1216.1051282051283</v>
      </c>
      <c r="R203" s="10">
        <f t="shared" si="44"/>
        <v>11.202852317507975</v>
      </c>
      <c r="S203" s="10">
        <f t="shared" si="45"/>
        <v>13.271878907230104</v>
      </c>
      <c r="T203" s="10">
        <f t="shared" si="46"/>
        <v>11.139387831264587</v>
      </c>
      <c r="U203" s="10">
        <f t="shared" si="47"/>
        <v>10.53362879811757</v>
      </c>
      <c r="V203" s="10">
        <f t="shared" si="48"/>
        <v>10.985892329652673</v>
      </c>
      <c r="W203" s="10">
        <f t="shared" si="49"/>
        <v>9.8757909340665133</v>
      </c>
      <c r="X203" s="10">
        <f t="shared" si="50"/>
        <v>10.607635557823315</v>
      </c>
      <c r="Y203" s="10">
        <f t="shared" si="51"/>
        <v>11.84108155291905</v>
      </c>
      <c r="Z203" s="10">
        <f t="shared" si="52"/>
        <v>10.541851771418207</v>
      </c>
    </row>
    <row r="204" spans="1:26" hidden="1" x14ac:dyDescent="0.3">
      <c r="A204" s="6" t="s">
        <v>34</v>
      </c>
      <c r="B204" s="6">
        <v>2018</v>
      </c>
      <c r="C204" s="6" t="s">
        <v>43</v>
      </c>
      <c r="D204" s="21">
        <f t="shared" si="42"/>
        <v>43282</v>
      </c>
      <c r="E204" s="4">
        <f>AVERAGE(All_India_Index_Upto_April23__1___1[[#This Row],[Cereals and products]:[Food and beverages]])</f>
        <v>138.1</v>
      </c>
      <c r="F204" s="5">
        <f>AVERAGE(All_India_Index_Upto_April23__1___1[[#This Row],[Pan, tobacco and intoxicants]])</f>
        <v>157.5</v>
      </c>
      <c r="G204" s="4">
        <f>AVERAGE(All_India_Index_Upto_April23__1___1[[#This Row],[Clothing]:[Clothing and footwear]])</f>
        <v>143.60000000000002</v>
      </c>
      <c r="H204" s="5">
        <f>AVERAGE(All_India_Index_Upto_April23__1___1[[#This Row],[Housing]:[Fuel and light]])</f>
        <v>139.69999999999999</v>
      </c>
      <c r="I204" s="5">
        <f>AVERAGE(All_India_Index_Upto_April23__1___1[[#This Row],[Household goods and services]:[Health]])</f>
        <v>137.80000000000001</v>
      </c>
      <c r="J204" s="5">
        <f>AVERAGE(All_India_Index_Upto_April23__1___1[[#This Row],[Transport and communication]])</f>
        <v>123.6</v>
      </c>
      <c r="K204" s="5">
        <f>AVERAGE(All_India_Index_Upto_April23__1___1[[#This Row],[Recreation and amusement]])</f>
        <v>133.1</v>
      </c>
      <c r="L204" s="5">
        <f>AVERAGE(All_India_Index_Upto_April23__1___1[[#This Row],[Education]])</f>
        <v>144.69999999999999</v>
      </c>
      <c r="M204" s="5">
        <f>AVERAGE(All_India_Index_Upto_April23__1___1[[#This Row],[Personal care and effects]])</f>
        <v>130.1</v>
      </c>
      <c r="N204" s="5">
        <f>AVERAGE(All_India_Index_Upto_April23__1___1[[#This Row],[Miscellaneous]])</f>
        <v>133.19999999999999</v>
      </c>
      <c r="O204" s="5">
        <f>AVERAGE(All_India_Index_Upto_April23__1___1[[#This Row],[General index]])</f>
        <v>139.80000000000001</v>
      </c>
      <c r="P204" s="2">
        <f>AVERAGE(E204:N204)</f>
        <v>138.14000000000001</v>
      </c>
      <c r="R204" s="10">
        <f t="shared" si="44"/>
        <v>99.971043868539141</v>
      </c>
      <c r="S204" s="10">
        <f t="shared" si="45"/>
        <v>114.01476762704502</v>
      </c>
      <c r="T204" s="10">
        <f t="shared" si="46"/>
        <v>103.95251194440422</v>
      </c>
      <c r="U204" s="10">
        <f t="shared" si="47"/>
        <v>101.12928912697261</v>
      </c>
      <c r="V204" s="10">
        <f t="shared" si="48"/>
        <v>99.753872882582883</v>
      </c>
      <c r="W204" s="10">
        <f t="shared" si="49"/>
        <v>89.4744462139858</v>
      </c>
      <c r="X204" s="10">
        <f t="shared" si="50"/>
        <v>96.351527435934543</v>
      </c>
      <c r="Y204" s="10">
        <f t="shared" si="51"/>
        <v>104.74880555957722</v>
      </c>
      <c r="Z204" s="10">
        <f t="shared" si="52"/>
        <v>94.179817576371789</v>
      </c>
    </row>
    <row r="205" spans="1:26" hidden="1" x14ac:dyDescent="0.3">
      <c r="A205" s="5" t="s">
        <v>30</v>
      </c>
      <c r="B205" s="5">
        <v>2018</v>
      </c>
      <c r="C205" s="5" t="s">
        <v>45</v>
      </c>
      <c r="D205" s="21">
        <f t="shared" si="42"/>
        <v>43313</v>
      </c>
      <c r="E205" s="4">
        <f>AVERAGE(All_India_Index_Upto_April23__1___1[[#This Row],[Cereals and products]:[Food and beverages]])</f>
        <v>139.90769230769232</v>
      </c>
      <c r="F205" s="5">
        <f>AVERAGE(All_India_Index_Upto_April23__1___1[[#This Row],[Pan, tobacco and intoxicants]])</f>
        <v>156.4</v>
      </c>
      <c r="G205" s="4">
        <f>AVERAGE(All_India_Index_Upto_April23__1___1[[#This Row],[Clothing]:[Clothing and footwear]])</f>
        <v>149.73333333333332</v>
      </c>
      <c r="H205" s="5">
        <f>AVERAGE(All_India_Index_Upto_April23__1___1[[#This Row],[Housing]:[Fuel and light]])</f>
        <v>147.69999999999999</v>
      </c>
      <c r="I205" s="5">
        <f>AVERAGE(All_India_Index_Upto_April23__1___1[[#This Row],[Household goods and services]:[Health]])</f>
        <v>141.60000000000002</v>
      </c>
      <c r="J205" s="5">
        <f>AVERAGE(All_India_Index_Upto_April23__1___1[[#This Row],[Transport and communication]])</f>
        <v>128.30000000000001</v>
      </c>
      <c r="K205" s="5">
        <f>AVERAGE(All_India_Index_Upto_April23__1___1[[#This Row],[Recreation and amusement]])</f>
        <v>138.6</v>
      </c>
      <c r="L205" s="5">
        <f>AVERAGE(All_India_Index_Upto_April23__1___1[[#This Row],[Education]])</f>
        <v>146.9</v>
      </c>
      <c r="M205" s="5">
        <f>AVERAGE(All_India_Index_Upto_April23__1___1[[#This Row],[Personal care and effects]])</f>
        <v>131.30000000000001</v>
      </c>
      <c r="N205" s="5">
        <f>AVERAGE(All_India_Index_Upto_April23__1___1[[#This Row],[Miscellaneous]])</f>
        <v>136.6</v>
      </c>
      <c r="O205" s="5">
        <f>AVERAGE(All_India_Index_Upto_April23__1___1[[#This Row],[General index]])</f>
        <v>142.5</v>
      </c>
      <c r="P205" s="2">
        <f t="shared" si="43"/>
        <v>1280.4410256410256</v>
      </c>
      <c r="R205" s="10">
        <f t="shared" si="44"/>
        <v>10.926523713784514</v>
      </c>
      <c r="S205" s="10">
        <f t="shared" si="45"/>
        <v>12.214541464078884</v>
      </c>
      <c r="T205" s="10">
        <f t="shared" si="46"/>
        <v>11.693887522728547</v>
      </c>
      <c r="U205" s="10">
        <f t="shared" si="47"/>
        <v>11.535088070616695</v>
      </c>
      <c r="V205" s="10">
        <f t="shared" si="48"/>
        <v>11.058689714281138</v>
      </c>
      <c r="W205" s="10">
        <f t="shared" si="49"/>
        <v>10.019985101287219</v>
      </c>
      <c r="X205" s="10">
        <f t="shared" si="50"/>
        <v>10.824395440673486</v>
      </c>
      <c r="Y205" s="10">
        <f t="shared" si="51"/>
        <v>11.472609597654655</v>
      </c>
      <c r="Z205" s="10">
        <f t="shared" si="52"/>
        <v>10.254279374894869</v>
      </c>
    </row>
    <row r="206" spans="1:26" hidden="1" x14ac:dyDescent="0.3">
      <c r="A206" s="6" t="s">
        <v>32</v>
      </c>
      <c r="B206" s="6">
        <v>2018</v>
      </c>
      <c r="C206" s="6" t="s">
        <v>45</v>
      </c>
      <c r="D206" s="21">
        <f t="shared" si="42"/>
        <v>43313</v>
      </c>
      <c r="E206" s="4">
        <f>AVERAGE(All_India_Index_Upto_April23__1___1[[#This Row],[Cereals and products]:[Food and beverages]])</f>
        <v>135.96923076923076</v>
      </c>
      <c r="F206" s="5">
        <f>AVERAGE(All_India_Index_Upto_April23__1___1[[#This Row],[Pan, tobacco and intoxicants]])</f>
        <v>162.1</v>
      </c>
      <c r="G206" s="4">
        <f>AVERAGE(All_India_Index_Upto_April23__1___1[[#This Row],[Clothing]:[Clothing and footwear]])</f>
        <v>135.76666666666668</v>
      </c>
      <c r="H206" s="5">
        <f>AVERAGE(All_India_Index_Upto_April23__1___1[[#This Row],[Housing]:[Fuel and light]])</f>
        <v>129.80000000000001</v>
      </c>
      <c r="I206" s="5">
        <f>AVERAGE(All_India_Index_Upto_April23__1___1[[#This Row],[Household goods and services]:[Health]])</f>
        <v>134.65</v>
      </c>
      <c r="J206" s="5">
        <f>AVERAGE(All_India_Index_Upto_April23__1___1[[#This Row],[Transport and communication]])</f>
        <v>120.7</v>
      </c>
      <c r="K206" s="5">
        <f>AVERAGE(All_India_Index_Upto_April23__1___1[[#This Row],[Recreation and amusement]])</f>
        <v>129.80000000000001</v>
      </c>
      <c r="L206" s="5">
        <f>AVERAGE(All_India_Index_Upto_April23__1___1[[#This Row],[Education]])</f>
        <v>145.30000000000001</v>
      </c>
      <c r="M206" s="5">
        <f>AVERAGE(All_India_Index_Upto_April23__1___1[[#This Row],[Personal care and effects]])</f>
        <v>128.30000000000001</v>
      </c>
      <c r="N206" s="5">
        <f>AVERAGE(All_India_Index_Upto_April23__1___1[[#This Row],[Miscellaneous]])</f>
        <v>131</v>
      </c>
      <c r="O206" s="5">
        <f>AVERAGE(All_India_Index_Upto_April23__1___1[[#This Row],[General index]])</f>
        <v>138</v>
      </c>
      <c r="P206" s="2">
        <f t="shared" si="43"/>
        <v>1222.3858974358975</v>
      </c>
      <c r="R206" s="10">
        <f t="shared" si="44"/>
        <v>11.123265660577621</v>
      </c>
      <c r="S206" s="10">
        <f t="shared" si="45"/>
        <v>13.260951418044364</v>
      </c>
      <c r="T206" s="10">
        <f t="shared" si="46"/>
        <v>11.1066944531554</v>
      </c>
      <c r="U206" s="10">
        <f t="shared" si="47"/>
        <v>10.618578001617268</v>
      </c>
      <c r="V206" s="10">
        <f t="shared" si="48"/>
        <v>11.015343050213906</v>
      </c>
      <c r="W206" s="10">
        <f t="shared" si="49"/>
        <v>9.87413224033285</v>
      </c>
      <c r="X206" s="10">
        <f t="shared" si="50"/>
        <v>10.618578001617268</v>
      </c>
      <c r="Y206" s="10">
        <f t="shared" si="51"/>
        <v>11.886590012596216</v>
      </c>
      <c r="Z206" s="10">
        <f t="shared" si="52"/>
        <v>10.49586716184511</v>
      </c>
    </row>
    <row r="207" spans="1:26" hidden="1" x14ac:dyDescent="0.3">
      <c r="A207" s="5" t="s">
        <v>34</v>
      </c>
      <c r="B207" s="5">
        <v>2018</v>
      </c>
      <c r="C207" s="5" t="s">
        <v>45</v>
      </c>
      <c r="D207" s="21">
        <f t="shared" si="42"/>
        <v>43313</v>
      </c>
      <c r="E207" s="4">
        <f>AVERAGE(All_India_Index_Upto_April23__1___1[[#This Row],[Cereals and products]:[Food and beverages]])</f>
        <v>138.36153846153849</v>
      </c>
      <c r="F207" s="5">
        <f>AVERAGE(All_India_Index_Upto_April23__1___1[[#This Row],[Pan, tobacco and intoxicants]])</f>
        <v>157.9</v>
      </c>
      <c r="G207" s="4">
        <f>AVERAGE(All_India_Index_Upto_April23__1___1[[#This Row],[Clothing]:[Clothing and footwear]])</f>
        <v>144.06666666666669</v>
      </c>
      <c r="H207" s="5">
        <f>AVERAGE(All_India_Index_Upto_April23__1___1[[#This Row],[Housing]:[Fuel and light]])</f>
        <v>140.9</v>
      </c>
      <c r="I207" s="5">
        <f>AVERAGE(All_India_Index_Upto_April23__1___1[[#This Row],[Household goods and services]:[Health]])</f>
        <v>138.55000000000001</v>
      </c>
      <c r="J207" s="5">
        <f>AVERAGE(All_India_Index_Upto_April23__1___1[[#This Row],[Transport and communication]])</f>
        <v>124.3</v>
      </c>
      <c r="K207" s="5">
        <f>AVERAGE(All_India_Index_Upto_April23__1___1[[#This Row],[Recreation and amusement]])</f>
        <v>133.6</v>
      </c>
      <c r="L207" s="5">
        <f>AVERAGE(All_India_Index_Upto_April23__1___1[[#This Row],[Education]])</f>
        <v>146</v>
      </c>
      <c r="M207" s="5">
        <f>AVERAGE(All_India_Index_Upto_April23__1___1[[#This Row],[Personal care and effects]])</f>
        <v>130.1</v>
      </c>
      <c r="N207" s="5">
        <f>AVERAGE(All_India_Index_Upto_April23__1___1[[#This Row],[Miscellaneous]])</f>
        <v>133.9</v>
      </c>
      <c r="O207" s="5">
        <f>AVERAGE(All_India_Index_Upto_April23__1___1[[#This Row],[General index]])</f>
        <v>140.4</v>
      </c>
      <c r="P207" s="2">
        <f>AVERAGE(E207:N207)</f>
        <v>138.76782051282052</v>
      </c>
      <c r="R207" s="10">
        <f t="shared" si="44"/>
        <v>99.70722171049411</v>
      </c>
      <c r="S207" s="10">
        <f t="shared" si="45"/>
        <v>113.78718741598446</v>
      </c>
      <c r="T207" s="10">
        <f t="shared" si="46"/>
        <v>103.81849778591616</v>
      </c>
      <c r="U207" s="10">
        <f t="shared" si="47"/>
        <v>101.53650859349088</v>
      </c>
      <c r="V207" s="10">
        <f t="shared" si="48"/>
        <v>99.843032403322653</v>
      </c>
      <c r="W207" s="10">
        <f t="shared" si="49"/>
        <v>89.574081037408916</v>
      </c>
      <c r="X207" s="10">
        <f t="shared" si="50"/>
        <v>96.275922981478928</v>
      </c>
      <c r="Y207" s="10">
        <f t="shared" si="51"/>
        <v>105.21171224023895</v>
      </c>
      <c r="Z207" s="10">
        <f t="shared" si="52"/>
        <v>93.753724400377308</v>
      </c>
    </row>
    <row r="208" spans="1:26" hidden="1" x14ac:dyDescent="0.3">
      <c r="A208" s="6" t="s">
        <v>30</v>
      </c>
      <c r="B208" s="6">
        <v>2018</v>
      </c>
      <c r="C208" s="6" t="s">
        <v>47</v>
      </c>
      <c r="D208" s="21">
        <f t="shared" si="42"/>
        <v>43344</v>
      </c>
      <c r="E208" s="4">
        <f>AVERAGE(All_India_Index_Upto_April23__1___1[[#This Row],[Cereals and products]:[Food and beverages]])</f>
        <v>138.44615384615386</v>
      </c>
      <c r="F208" s="5">
        <f>AVERAGE(All_India_Index_Upto_April23__1___1[[#This Row],[Pan, tobacco and intoxicants]])</f>
        <v>157.69999999999999</v>
      </c>
      <c r="G208" s="4">
        <f>AVERAGE(All_India_Index_Upto_April23__1___1[[#This Row],[Clothing]:[Clothing and footwear]])</f>
        <v>149.83333333333334</v>
      </c>
      <c r="H208" s="5">
        <f>AVERAGE(All_India_Index_Upto_April23__1___1[[#This Row],[Housing]:[Fuel and light]])</f>
        <v>149</v>
      </c>
      <c r="I208" s="5">
        <f>AVERAGE(All_India_Index_Upto_April23__1___1[[#This Row],[Household goods and services]:[Health]])</f>
        <v>142</v>
      </c>
      <c r="J208" s="5">
        <f>AVERAGE(All_India_Index_Upto_April23__1___1[[#This Row],[Transport and communication]])</f>
        <v>129.9</v>
      </c>
      <c r="K208" s="5">
        <f>AVERAGE(All_India_Index_Upto_April23__1___1[[#This Row],[Recreation and amusement]])</f>
        <v>140</v>
      </c>
      <c r="L208" s="5">
        <f>AVERAGE(All_India_Index_Upto_April23__1___1[[#This Row],[Education]])</f>
        <v>147.6</v>
      </c>
      <c r="M208" s="5">
        <f>AVERAGE(All_India_Index_Upto_April23__1___1[[#This Row],[Personal care and effects]])</f>
        <v>132</v>
      </c>
      <c r="N208" s="5">
        <f>AVERAGE(All_India_Index_Upto_April23__1___1[[#This Row],[Miscellaneous]])</f>
        <v>137.4</v>
      </c>
      <c r="O208" s="5">
        <f>AVERAGE(All_India_Index_Upto_April23__1___1[[#This Row],[General index]])</f>
        <v>142.1</v>
      </c>
      <c r="P208" s="2">
        <f t="shared" si="43"/>
        <v>1286.4794871794873</v>
      </c>
      <c r="R208" s="10">
        <f t="shared" si="44"/>
        <v>10.761629332286283</v>
      </c>
      <c r="S208" s="10">
        <f t="shared" si="45"/>
        <v>12.258259970063399</v>
      </c>
      <c r="T208" s="10">
        <f t="shared" si="46"/>
        <v>11.646772049341575</v>
      </c>
      <c r="U208" s="10">
        <f t="shared" si="47"/>
        <v>11.581995786553243</v>
      </c>
      <c r="V208" s="10">
        <f t="shared" si="48"/>
        <v>11.03787517913128</v>
      </c>
      <c r="W208" s="10">
        <f t="shared" si="49"/>
        <v>10.097323843444741</v>
      </c>
      <c r="X208" s="10">
        <f t="shared" si="50"/>
        <v>10.88241214843929</v>
      </c>
      <c r="Y208" s="10">
        <f t="shared" si="51"/>
        <v>11.473171665068852</v>
      </c>
      <c r="Z208" s="10">
        <f t="shared" si="52"/>
        <v>10.260560025671332</v>
      </c>
    </row>
    <row r="209" spans="1:26" hidden="1" x14ac:dyDescent="0.3">
      <c r="A209" s="5" t="s">
        <v>32</v>
      </c>
      <c r="B209" s="5">
        <v>2018</v>
      </c>
      <c r="C209" s="5" t="s">
        <v>47</v>
      </c>
      <c r="D209" s="21">
        <f t="shared" si="42"/>
        <v>43344</v>
      </c>
      <c r="E209" s="4">
        <f>AVERAGE(All_India_Index_Upto_April23__1___1[[#This Row],[Cereals and products]:[Food and beverages]])</f>
        <v>134.49230769230769</v>
      </c>
      <c r="F209" s="5">
        <f>AVERAGE(All_India_Index_Upto_April23__1___1[[#This Row],[Pan, tobacco and intoxicants]])</f>
        <v>163.30000000000001</v>
      </c>
      <c r="G209" s="4">
        <f>AVERAGE(All_India_Index_Upto_April23__1___1[[#This Row],[Clothing]:[Clothing and footwear]])</f>
        <v>136.4</v>
      </c>
      <c r="H209" s="5">
        <f>AVERAGE(All_India_Index_Upto_April23__1___1[[#This Row],[Housing]:[Fuel and light]])</f>
        <v>131.19999999999999</v>
      </c>
      <c r="I209" s="5">
        <f>AVERAGE(All_India_Index_Upto_April23__1___1[[#This Row],[Household goods and services]:[Health]])</f>
        <v>135.30000000000001</v>
      </c>
      <c r="J209" s="5">
        <f>AVERAGE(All_India_Index_Upto_April23__1___1[[#This Row],[Transport and communication]])</f>
        <v>122.5</v>
      </c>
      <c r="K209" s="5">
        <f>AVERAGE(All_India_Index_Upto_April23__1___1[[#This Row],[Recreation and amusement]])</f>
        <v>130.19999999999999</v>
      </c>
      <c r="L209" s="5">
        <f>AVERAGE(All_India_Index_Upto_April23__1___1[[#This Row],[Education]])</f>
        <v>145.19999999999999</v>
      </c>
      <c r="M209" s="5">
        <f>AVERAGE(All_India_Index_Upto_April23__1___1[[#This Row],[Personal care and effects]])</f>
        <v>129.30000000000001</v>
      </c>
      <c r="N209" s="5">
        <f>AVERAGE(All_India_Index_Upto_April23__1___1[[#This Row],[Miscellaneous]])</f>
        <v>131.9</v>
      </c>
      <c r="O209" s="5">
        <f>AVERAGE(All_India_Index_Upto_April23__1___1[[#This Row],[General index]])</f>
        <v>138.1</v>
      </c>
      <c r="P209" s="2">
        <f t="shared" si="43"/>
        <v>1227.8923076923077</v>
      </c>
      <c r="R209" s="10">
        <f t="shared" si="44"/>
        <v>10.953102877977273</v>
      </c>
      <c r="S209" s="10">
        <f t="shared" si="45"/>
        <v>13.299211907834566</v>
      </c>
      <c r="T209" s="10">
        <f t="shared" si="46"/>
        <v>11.108466039367022</v>
      </c>
      <c r="U209" s="10">
        <f t="shared" si="47"/>
        <v>10.684976131707867</v>
      </c>
      <c r="V209" s="10">
        <f t="shared" si="48"/>
        <v>11.018881635823739</v>
      </c>
      <c r="W209" s="10">
        <f t="shared" si="49"/>
        <v>9.9764449400473598</v>
      </c>
      <c r="X209" s="10">
        <f t="shared" si="50"/>
        <v>10.603535764850337</v>
      </c>
      <c r="Y209" s="10">
        <f t="shared" si="51"/>
        <v>11.825141267713279</v>
      </c>
      <c r="Z209" s="10">
        <f t="shared" si="52"/>
        <v>10.530239434678561</v>
      </c>
    </row>
    <row r="210" spans="1:26" hidden="1" x14ac:dyDescent="0.3">
      <c r="A210" s="6" t="s">
        <v>34</v>
      </c>
      <c r="B210" s="6">
        <v>2018</v>
      </c>
      <c r="C210" s="6" t="s">
        <v>47</v>
      </c>
      <c r="D210" s="21">
        <f t="shared" si="42"/>
        <v>43344</v>
      </c>
      <c r="E210" s="4">
        <f>AVERAGE(All_India_Index_Upto_April23__1___1[[#This Row],[Cereals and products]:[Food and beverages]])</f>
        <v>136.88461538461539</v>
      </c>
      <c r="F210" s="5">
        <f>AVERAGE(All_India_Index_Upto_April23__1___1[[#This Row],[Pan, tobacco and intoxicants]])</f>
        <v>159.19999999999999</v>
      </c>
      <c r="G210" s="4">
        <f>AVERAGE(All_India_Index_Upto_April23__1___1[[#This Row],[Clothing]:[Clothing and footwear]])</f>
        <v>144.43333333333331</v>
      </c>
      <c r="H210" s="5">
        <f>AVERAGE(All_India_Index_Upto_April23__1___1[[#This Row],[Housing]:[Fuel and light]])</f>
        <v>142.30000000000001</v>
      </c>
      <c r="I210" s="5">
        <f>AVERAGE(All_India_Index_Upto_April23__1___1[[#This Row],[Household goods and services]:[Health]])</f>
        <v>139.05000000000001</v>
      </c>
      <c r="J210" s="5">
        <f>AVERAGE(All_India_Index_Upto_April23__1___1[[#This Row],[Transport and communication]])</f>
        <v>126</v>
      </c>
      <c r="K210" s="5">
        <f>AVERAGE(All_India_Index_Upto_April23__1___1[[#This Row],[Recreation and amusement]])</f>
        <v>134.5</v>
      </c>
      <c r="L210" s="5">
        <f>AVERAGE(All_India_Index_Upto_April23__1___1[[#This Row],[Education]])</f>
        <v>146.19999999999999</v>
      </c>
      <c r="M210" s="5">
        <f>AVERAGE(All_India_Index_Upto_April23__1___1[[#This Row],[Personal care and effects]])</f>
        <v>130.9</v>
      </c>
      <c r="N210" s="5">
        <f>AVERAGE(All_India_Index_Upto_April23__1___1[[#This Row],[Miscellaneous]])</f>
        <v>134.69999999999999</v>
      </c>
      <c r="O210" s="5">
        <f>AVERAGE(All_India_Index_Upto_April23__1___1[[#This Row],[General index]])</f>
        <v>140.19999999999999</v>
      </c>
      <c r="P210" s="2">
        <f>AVERAGE(E210:N210)</f>
        <v>139.41679487179488</v>
      </c>
      <c r="R210" s="10">
        <f t="shared" si="44"/>
        <v>98.183734255612436</v>
      </c>
      <c r="S210" s="10">
        <f t="shared" si="45"/>
        <v>114.18997269762039</v>
      </c>
      <c r="T210" s="10">
        <f t="shared" si="46"/>
        <v>103.59823109271129</v>
      </c>
      <c r="U210" s="10">
        <f t="shared" si="47"/>
        <v>102.06804720396599</v>
      </c>
      <c r="V210" s="10">
        <f t="shared" si="48"/>
        <v>99.736907685955515</v>
      </c>
      <c r="W210" s="10">
        <f t="shared" si="49"/>
        <v>90.376485929021172</v>
      </c>
      <c r="X210" s="10">
        <f t="shared" si="50"/>
        <v>96.473312360740849</v>
      </c>
      <c r="Y210" s="10">
        <f t="shared" si="51"/>
        <v>104.86541462557852</v>
      </c>
      <c r="Z210" s="10">
        <f t="shared" si="52"/>
        <v>93.891127048483099</v>
      </c>
    </row>
    <row r="211" spans="1:26" hidden="1" x14ac:dyDescent="0.3">
      <c r="A211" s="5" t="s">
        <v>30</v>
      </c>
      <c r="B211" s="5">
        <v>2018</v>
      </c>
      <c r="C211" s="5" t="s">
        <v>49</v>
      </c>
      <c r="D211" s="21">
        <f t="shared" si="42"/>
        <v>43374</v>
      </c>
      <c r="E211" s="4">
        <f>AVERAGE(All_India_Index_Upto_April23__1___1[[#This Row],[Cereals and products]:[Food and beverages]])</f>
        <v>137.09230769230768</v>
      </c>
      <c r="F211" s="5">
        <f>AVERAGE(All_India_Index_Upto_April23__1___1[[#This Row],[Pan, tobacco and intoxicants]])</f>
        <v>159.6</v>
      </c>
      <c r="G211" s="4">
        <f>AVERAGE(All_India_Index_Upto_April23__1___1[[#This Row],[Clothing]:[Clothing and footwear]])</f>
        <v>148.33333333333334</v>
      </c>
      <c r="H211" s="5">
        <f>AVERAGE(All_India_Index_Upto_April23__1___1[[#This Row],[Housing]:[Fuel and light]])</f>
        <v>149.69999999999999</v>
      </c>
      <c r="I211" s="5">
        <f>AVERAGE(All_India_Index_Upto_April23__1___1[[#This Row],[Household goods and services]:[Health]])</f>
        <v>146.15</v>
      </c>
      <c r="J211" s="5">
        <f>AVERAGE(All_India_Index_Upto_April23__1___1[[#This Row],[Transport and communication]])</f>
        <v>130.80000000000001</v>
      </c>
      <c r="K211" s="5">
        <f>AVERAGE(All_India_Index_Upto_April23__1___1[[#This Row],[Recreation and amusement]])</f>
        <v>140.1</v>
      </c>
      <c r="L211" s="5">
        <f>AVERAGE(All_India_Index_Upto_April23__1___1[[#This Row],[Education]])</f>
        <v>148</v>
      </c>
      <c r="M211" s="5">
        <f>AVERAGE(All_India_Index_Upto_April23__1___1[[#This Row],[Personal care and effects]])</f>
        <v>134.4</v>
      </c>
      <c r="N211" s="5">
        <f>AVERAGE(All_India_Index_Upto_April23__1___1[[#This Row],[Miscellaneous]])</f>
        <v>139.80000000000001</v>
      </c>
      <c r="O211" s="5">
        <f>AVERAGE(All_India_Index_Upto_April23__1___1[[#This Row],[General index]])</f>
        <v>142.19999999999999</v>
      </c>
      <c r="P211" s="2">
        <f t="shared" si="43"/>
        <v>1294.1756410256412</v>
      </c>
      <c r="R211" s="10">
        <f t="shared" si="44"/>
        <v>10.5930217929045</v>
      </c>
      <c r="S211" s="10">
        <f t="shared" si="45"/>
        <v>12.332174624575389</v>
      </c>
      <c r="T211" s="10">
        <f t="shared" si="46"/>
        <v>11.461607577142958</v>
      </c>
      <c r="U211" s="10">
        <f t="shared" si="47"/>
        <v>11.567208905381802</v>
      </c>
      <c r="V211" s="10">
        <f t="shared" si="48"/>
        <v>11.292903016176021</v>
      </c>
      <c r="W211" s="10">
        <f t="shared" si="49"/>
        <v>10.106819805103138</v>
      </c>
      <c r="X211" s="10">
        <f t="shared" si="50"/>
        <v>10.82542396555772</v>
      </c>
      <c r="Y211" s="10">
        <f t="shared" si="51"/>
        <v>11.435851155621288</v>
      </c>
      <c r="Z211" s="10">
        <f t="shared" si="52"/>
        <v>10.38498915753717</v>
      </c>
    </row>
    <row r="212" spans="1:26" hidden="1" x14ac:dyDescent="0.3">
      <c r="A212" s="6" t="s">
        <v>32</v>
      </c>
      <c r="B212" s="6">
        <v>2018</v>
      </c>
      <c r="C212" s="6" t="s">
        <v>49</v>
      </c>
      <c r="D212" s="21">
        <f t="shared" si="42"/>
        <v>43374</v>
      </c>
      <c r="E212" s="4">
        <f>AVERAGE(All_India_Index_Upto_April23__1___1[[#This Row],[Cereals and products]:[Food and beverages]])</f>
        <v>134.93076923076922</v>
      </c>
      <c r="F212" s="5">
        <f>AVERAGE(All_India_Index_Upto_April23__1___1[[#This Row],[Pan, tobacco and intoxicants]])</f>
        <v>164</v>
      </c>
      <c r="G212" s="4">
        <f>AVERAGE(All_India_Index_Upto_April23__1___1[[#This Row],[Clothing]:[Clothing and footwear]])</f>
        <v>137</v>
      </c>
      <c r="H212" s="5">
        <f>AVERAGE(All_India_Index_Upto_April23__1___1[[#This Row],[Housing]:[Fuel and light]])</f>
        <v>133.4</v>
      </c>
      <c r="I212" s="5">
        <f>AVERAGE(All_India_Index_Upto_April23__1___1[[#This Row],[Household goods and services]:[Health]])</f>
        <v>135.64999999999998</v>
      </c>
      <c r="J212" s="5">
        <f>AVERAGE(All_India_Index_Upto_April23__1___1[[#This Row],[Transport and communication]])</f>
        <v>123.3</v>
      </c>
      <c r="K212" s="5">
        <f>AVERAGE(All_India_Index_Upto_April23__1___1[[#This Row],[Recreation and amusement]])</f>
        <v>130.69999999999999</v>
      </c>
      <c r="L212" s="5">
        <f>AVERAGE(All_India_Index_Upto_April23__1___1[[#This Row],[Education]])</f>
        <v>145.5</v>
      </c>
      <c r="M212" s="5">
        <f>AVERAGE(All_India_Index_Upto_April23__1___1[[#This Row],[Personal care and effects]])</f>
        <v>130.4</v>
      </c>
      <c r="N212" s="5">
        <f>AVERAGE(All_India_Index_Upto_April23__1___1[[#This Row],[Miscellaneous]])</f>
        <v>132.5</v>
      </c>
      <c r="O212" s="5">
        <f>AVERAGE(All_India_Index_Upto_April23__1___1[[#This Row],[General index]])</f>
        <v>138.9</v>
      </c>
      <c r="P212" s="2">
        <f t="shared" si="43"/>
        <v>1234.8807692307691</v>
      </c>
      <c r="R212" s="10">
        <f t="shared" si="44"/>
        <v>10.926623249208113</v>
      </c>
      <c r="S212" s="10">
        <f t="shared" si="45"/>
        <v>13.280634380771735</v>
      </c>
      <c r="T212" s="10">
        <f t="shared" si="46"/>
        <v>11.094188476620291</v>
      </c>
      <c r="U212" s="10">
        <f t="shared" si="47"/>
        <v>10.802662356066765</v>
      </c>
      <c r="V212" s="10">
        <f t="shared" si="48"/>
        <v>10.984866181412716</v>
      </c>
      <c r="W212" s="10">
        <f t="shared" si="49"/>
        <v>9.9847696289582615</v>
      </c>
      <c r="X212" s="10">
        <f t="shared" si="50"/>
        <v>10.58401776565162</v>
      </c>
      <c r="Y212" s="10">
        <f t="shared" si="51"/>
        <v>11.78251403903834</v>
      </c>
      <c r="Z212" s="10">
        <f t="shared" si="52"/>
        <v>10.559723922272161</v>
      </c>
    </row>
    <row r="213" spans="1:26" hidden="1" x14ac:dyDescent="0.3">
      <c r="A213" s="5" t="s">
        <v>34</v>
      </c>
      <c r="B213" s="5">
        <v>2018</v>
      </c>
      <c r="C213" s="5" t="s">
        <v>49</v>
      </c>
      <c r="D213" s="21">
        <f t="shared" si="42"/>
        <v>43374</v>
      </c>
      <c r="E213" s="4">
        <f>AVERAGE(All_India_Index_Upto_April23__1___1[[#This Row],[Cereals and products]:[Food and beverages]])</f>
        <v>136.63076923076923</v>
      </c>
      <c r="F213" s="5">
        <f>AVERAGE(All_India_Index_Upto_April23__1___1[[#This Row],[Pan, tobacco and intoxicants]])</f>
        <v>162.6</v>
      </c>
      <c r="G213" s="4">
        <f>AVERAGE(All_India_Index_Upto_April23__1___1[[#This Row],[Clothing]:[Clothing and footwear]])</f>
        <v>144.66666666666666</v>
      </c>
      <c r="H213" s="5">
        <f>AVERAGE(All_India_Index_Upto_April23__1___1[[#This Row],[Housing]:[Fuel and light]])</f>
        <v>145.30000000000001</v>
      </c>
      <c r="I213" s="5">
        <f>AVERAGE(All_India_Index_Upto_April23__1___1[[#This Row],[Household goods and services]:[Health]])</f>
        <v>142.14999999999998</v>
      </c>
      <c r="J213" s="5">
        <f>AVERAGE(All_India_Index_Upto_April23__1___1[[#This Row],[Transport and communication]])</f>
        <v>125.5</v>
      </c>
      <c r="K213" s="5">
        <f>AVERAGE(All_India_Index_Upto_April23__1___1[[#This Row],[Recreation and amusement]])</f>
        <v>136.5</v>
      </c>
      <c r="L213" s="5">
        <f>AVERAGE(All_India_Index_Upto_April23__1___1[[#This Row],[Education]])</f>
        <v>147.80000000000001</v>
      </c>
      <c r="M213" s="5">
        <f>AVERAGE(All_India_Index_Upto_April23__1___1[[#This Row],[Personal care and effects]])</f>
        <v>132</v>
      </c>
      <c r="N213" s="5">
        <f>AVERAGE(All_India_Index_Upto_April23__1___1[[#This Row],[Miscellaneous]])</f>
        <v>136.30000000000001</v>
      </c>
      <c r="O213" s="5">
        <f>AVERAGE(All_India_Index_Upto_April23__1___1[[#This Row],[General index]])</f>
        <v>140.80000000000001</v>
      </c>
      <c r="P213" s="2">
        <f>AVERAGE(E213:N213)</f>
        <v>140.94474358974361</v>
      </c>
      <c r="R213" s="10">
        <f t="shared" si="44"/>
        <v>96.939244239195375</v>
      </c>
      <c r="S213" s="10">
        <f t="shared" si="45"/>
        <v>115.36435900957729</v>
      </c>
      <c r="T213" s="10">
        <f t="shared" si="46"/>
        <v>102.6406966177871</v>
      </c>
      <c r="U213" s="10">
        <f t="shared" si="47"/>
        <v>103.09004528961614</v>
      </c>
      <c r="V213" s="10">
        <f t="shared" si="48"/>
        <v>100.85512689551912</v>
      </c>
      <c r="W213" s="10">
        <f t="shared" si="49"/>
        <v>89.041986812435127</v>
      </c>
      <c r="X213" s="10">
        <f t="shared" si="50"/>
        <v>96.846463744202339</v>
      </c>
      <c r="Y213" s="10">
        <f t="shared" si="51"/>
        <v>104.86379004683594</v>
      </c>
      <c r="Z213" s="10">
        <f t="shared" si="52"/>
        <v>93.653723181206658</v>
      </c>
    </row>
    <row r="214" spans="1:26" hidden="1" x14ac:dyDescent="0.3">
      <c r="A214" s="6" t="s">
        <v>30</v>
      </c>
      <c r="B214" s="6">
        <v>2018</v>
      </c>
      <c r="C214" s="6" t="s">
        <v>52</v>
      </c>
      <c r="D214" s="21">
        <f t="shared" si="42"/>
        <v>43405</v>
      </c>
      <c r="E214" s="4">
        <f>AVERAGE(All_India_Index_Upto_April23__1___1[[#This Row],[Cereals and products]:[Food and beverages]])</f>
        <v>137.49999999999997</v>
      </c>
      <c r="F214" s="5">
        <f>AVERAGE(All_India_Index_Upto_April23__1___1[[#This Row],[Pan, tobacco and intoxicants]])</f>
        <v>161.9</v>
      </c>
      <c r="G214" s="4">
        <f>AVERAGE(All_India_Index_Upto_April23__1___1[[#This Row],[Clothing]:[Clothing and footwear]])</f>
        <v>149.33333333333334</v>
      </c>
      <c r="H214" s="5">
        <f>AVERAGE(All_India_Index_Upto_April23__1___1[[#This Row],[Housing]:[Fuel and light]])</f>
        <v>150.30000000000001</v>
      </c>
      <c r="I214" s="5">
        <f>AVERAGE(All_India_Index_Upto_April23__1___1[[#This Row],[Household goods and services]:[Health]])</f>
        <v>146.69999999999999</v>
      </c>
      <c r="J214" s="5">
        <f>AVERAGE(All_India_Index_Upto_April23__1___1[[#This Row],[Transport and communication]])</f>
        <v>130.30000000000001</v>
      </c>
      <c r="K214" s="5">
        <f>AVERAGE(All_India_Index_Upto_April23__1___1[[#This Row],[Recreation and amusement]])</f>
        <v>143.1</v>
      </c>
      <c r="L214" s="5">
        <f>AVERAGE(All_India_Index_Upto_April23__1___1[[#This Row],[Education]])</f>
        <v>150.19999999999999</v>
      </c>
      <c r="M214" s="5">
        <f>AVERAGE(All_India_Index_Upto_April23__1___1[[#This Row],[Personal care and effects]])</f>
        <v>133.1</v>
      </c>
      <c r="N214" s="5">
        <f>AVERAGE(All_India_Index_Upto_April23__1___1[[#This Row],[Miscellaneous]])</f>
        <v>140.1</v>
      </c>
      <c r="O214" s="5">
        <f>AVERAGE(All_India_Index_Upto_April23__1___1[[#This Row],[General index]])</f>
        <v>142.4</v>
      </c>
      <c r="P214" s="2">
        <f t="shared" si="43"/>
        <v>1302.4333333333332</v>
      </c>
      <c r="R214" s="10">
        <f t="shared" si="44"/>
        <v>10.557162234791287</v>
      </c>
      <c r="S214" s="10">
        <f t="shared" si="45"/>
        <v>12.430578660456071</v>
      </c>
      <c r="T214" s="10">
        <f t="shared" si="46"/>
        <v>11.46571801499757</v>
      </c>
      <c r="U214" s="10">
        <f t="shared" si="47"/>
        <v>11.539938064648226</v>
      </c>
      <c r="V214" s="10">
        <f t="shared" si="48"/>
        <v>11.26353236250096</v>
      </c>
      <c r="W214" s="10">
        <f t="shared" si="49"/>
        <v>10.004350830496765</v>
      </c>
      <c r="X214" s="10">
        <f t="shared" si="50"/>
        <v>10.987126660353699</v>
      </c>
      <c r="Y214" s="10">
        <f t="shared" si="51"/>
        <v>11.532260128477466</v>
      </c>
      <c r="Z214" s="10">
        <f t="shared" si="52"/>
        <v>10.219333043277967</v>
      </c>
    </row>
    <row r="215" spans="1:26" hidden="1" x14ac:dyDescent="0.3">
      <c r="A215" s="5" t="s">
        <v>32</v>
      </c>
      <c r="B215" s="5">
        <v>2018</v>
      </c>
      <c r="C215" s="5" t="s">
        <v>52</v>
      </c>
      <c r="D215" s="21">
        <f t="shared" si="42"/>
        <v>43405</v>
      </c>
      <c r="E215" s="4">
        <f>AVERAGE(All_India_Index_Upto_April23__1___1[[#This Row],[Cereals and products]:[Food and beverages]])</f>
        <v>135.19230769230768</v>
      </c>
      <c r="F215" s="5">
        <f>AVERAGE(All_India_Index_Upto_April23__1___1[[#This Row],[Pan, tobacco and intoxicants]])</f>
        <v>164.4</v>
      </c>
      <c r="G215" s="4">
        <f>AVERAGE(All_India_Index_Upto_April23__1___1[[#This Row],[Clothing]:[Clothing and footwear]])</f>
        <v>137.70000000000002</v>
      </c>
      <c r="H215" s="5">
        <f>AVERAGE(All_India_Index_Upto_April23__1___1[[#This Row],[Housing]:[Fuel and light]])</f>
        <v>136.69999999999999</v>
      </c>
      <c r="I215" s="5">
        <f>AVERAGE(All_India_Index_Upto_April23__1___1[[#This Row],[Household goods and services]:[Health]])</f>
        <v>136.30000000000001</v>
      </c>
      <c r="J215" s="5">
        <f>AVERAGE(All_India_Index_Upto_April23__1___1[[#This Row],[Transport and communication]])</f>
        <v>121.2</v>
      </c>
      <c r="K215" s="5">
        <f>AVERAGE(All_India_Index_Upto_April23__1___1[[#This Row],[Recreation and amusement]])</f>
        <v>131.30000000000001</v>
      </c>
      <c r="L215" s="5">
        <f>AVERAGE(All_India_Index_Upto_April23__1___1[[#This Row],[Education]])</f>
        <v>146.1</v>
      </c>
      <c r="M215" s="5">
        <f>AVERAGE(All_India_Index_Upto_April23__1___1[[#This Row],[Personal care and effects]])</f>
        <v>130.5</v>
      </c>
      <c r="N215" s="5">
        <f>AVERAGE(All_India_Index_Upto_April23__1___1[[#This Row],[Miscellaneous]])</f>
        <v>132.19999999999999</v>
      </c>
      <c r="O215" s="5">
        <f>AVERAGE(All_India_Index_Upto_April23__1___1[[#This Row],[General index]])</f>
        <v>139</v>
      </c>
      <c r="P215" s="2">
        <f t="shared" si="43"/>
        <v>1239.3923076923077</v>
      </c>
      <c r="R215" s="10">
        <f t="shared" si="44"/>
        <v>10.907951167135257</v>
      </c>
      <c r="S215" s="10">
        <f t="shared" si="45"/>
        <v>13.26456514048448</v>
      </c>
      <c r="T215" s="10">
        <f t="shared" si="46"/>
        <v>11.110283575697769</v>
      </c>
      <c r="U215" s="10">
        <f t="shared" si="47"/>
        <v>11.029598872896766</v>
      </c>
      <c r="V215" s="10">
        <f t="shared" si="48"/>
        <v>10.997324991776368</v>
      </c>
      <c r="W215" s="10">
        <f t="shared" si="49"/>
        <v>9.7789859794812592</v>
      </c>
      <c r="X215" s="10">
        <f t="shared" si="50"/>
        <v>10.593901477771366</v>
      </c>
      <c r="Y215" s="10">
        <f t="shared" si="51"/>
        <v>11.788035079226171</v>
      </c>
      <c r="Z215" s="10">
        <f t="shared" si="52"/>
        <v>10.529353715530563</v>
      </c>
    </row>
    <row r="216" spans="1:26" hidden="1" x14ac:dyDescent="0.3">
      <c r="A216" s="6" t="s">
        <v>34</v>
      </c>
      <c r="B216" s="6">
        <v>2018</v>
      </c>
      <c r="C216" s="6" t="s">
        <v>52</v>
      </c>
      <c r="D216" s="21">
        <f t="shared" si="42"/>
        <v>43405</v>
      </c>
      <c r="E216" s="4">
        <f>AVERAGE(All_India_Index_Upto_April23__1___1[[#This Row],[Cereals and products]:[Food and beverages]])</f>
        <v>136.59230769230771</v>
      </c>
      <c r="F216" s="5">
        <f>AVERAGE(All_India_Index_Upto_April23__1___1[[#This Row],[Pan, tobacco and intoxicants]])</f>
        <v>162.6</v>
      </c>
      <c r="G216" s="4">
        <f>AVERAGE(All_India_Index_Upto_April23__1___1[[#This Row],[Clothing]:[Clothing and footwear]])</f>
        <v>144.6</v>
      </c>
      <c r="H216" s="5">
        <f>AVERAGE(All_India_Index_Upto_April23__1___1[[#This Row],[Housing]:[Fuel and light]])</f>
        <v>145.1</v>
      </c>
      <c r="I216" s="5">
        <f>AVERAGE(All_India_Index_Upto_April23__1___1[[#This Row],[Household goods and services]:[Health]])</f>
        <v>142.14999999999998</v>
      </c>
      <c r="J216" s="5">
        <f>AVERAGE(All_India_Index_Upto_April23__1___1[[#This Row],[Transport and communication]])</f>
        <v>125.5</v>
      </c>
      <c r="K216" s="5">
        <f>AVERAGE(All_India_Index_Upto_April23__1___1[[#This Row],[Recreation and amusement]])</f>
        <v>136.5</v>
      </c>
      <c r="L216" s="5">
        <f>AVERAGE(All_India_Index_Upto_April23__1___1[[#This Row],[Education]])</f>
        <v>147.80000000000001</v>
      </c>
      <c r="M216" s="5">
        <f>AVERAGE(All_India_Index_Upto_April23__1___1[[#This Row],[Personal care and effects]])</f>
        <v>132</v>
      </c>
      <c r="N216" s="5">
        <f>AVERAGE(All_India_Index_Upto_April23__1___1[[#This Row],[Miscellaneous]])</f>
        <v>136.30000000000001</v>
      </c>
      <c r="O216" s="5">
        <f>AVERAGE(All_India_Index_Upto_April23__1___1[[#This Row],[General index]])</f>
        <v>140.80000000000001</v>
      </c>
      <c r="P216" s="2">
        <f>AVERAGE(E216:N216)</f>
        <v>140.91423076923076</v>
      </c>
      <c r="R216" s="10">
        <f t="shared" si="44"/>
        <v>96.932940659484657</v>
      </c>
      <c r="S216" s="10">
        <f t="shared" si="45"/>
        <v>115.38933939630492</v>
      </c>
      <c r="T216" s="10">
        <f t="shared" si="46"/>
        <v>102.61561178785787</v>
      </c>
      <c r="U216" s="10">
        <f t="shared" si="47"/>
        <v>102.97043755475916</v>
      </c>
      <c r="V216" s="10">
        <f t="shared" si="48"/>
        <v>100.87696553004146</v>
      </c>
      <c r="W216" s="10">
        <f t="shared" si="49"/>
        <v>89.061267492227955</v>
      </c>
      <c r="X216" s="10">
        <f t="shared" si="50"/>
        <v>96.867434364056706</v>
      </c>
      <c r="Y216" s="10">
        <f t="shared" si="51"/>
        <v>104.88649669602623</v>
      </c>
      <c r="Z216" s="10">
        <f t="shared" si="52"/>
        <v>93.674002461944951</v>
      </c>
    </row>
    <row r="217" spans="1:26" hidden="1" x14ac:dyDescent="0.3">
      <c r="A217" s="5" t="s">
        <v>30</v>
      </c>
      <c r="B217" s="5">
        <v>2018</v>
      </c>
      <c r="C217" s="5" t="s">
        <v>54</v>
      </c>
      <c r="D217" s="21">
        <f t="shared" si="42"/>
        <v>43435</v>
      </c>
      <c r="E217" s="4">
        <f>AVERAGE(All_India_Index_Upto_April23__1___1[[#This Row],[Cereals and products]:[Food and beverages]])</f>
        <v>136.3923076923077</v>
      </c>
      <c r="F217" s="5">
        <f>AVERAGE(All_India_Index_Upto_April23__1___1[[#This Row],[Pan, tobacco and intoxicants]])</f>
        <v>162.4</v>
      </c>
      <c r="G217" s="4">
        <f>AVERAGE(All_India_Index_Upto_April23__1___1[[#This Row],[Clothing]:[Clothing and footwear]])</f>
        <v>149.43333333333334</v>
      </c>
      <c r="H217" s="5">
        <f>AVERAGE(All_India_Index_Upto_April23__1___1[[#This Row],[Housing]:[Fuel and light]])</f>
        <v>149</v>
      </c>
      <c r="I217" s="5">
        <f>AVERAGE(All_India_Index_Upto_April23__1___1[[#This Row],[Household goods and services]:[Health]])</f>
        <v>149.55000000000001</v>
      </c>
      <c r="J217" s="5">
        <f>AVERAGE(All_India_Index_Upto_April23__1___1[[#This Row],[Transport and communication]])</f>
        <v>128.9</v>
      </c>
      <c r="K217" s="5">
        <f>AVERAGE(All_India_Index_Upto_April23__1___1[[#This Row],[Recreation and amusement]])</f>
        <v>143.30000000000001</v>
      </c>
      <c r="L217" s="5">
        <f>AVERAGE(All_India_Index_Upto_April23__1___1[[#This Row],[Education]])</f>
        <v>155.1</v>
      </c>
      <c r="M217" s="5">
        <f>AVERAGE(All_India_Index_Upto_April23__1___1[[#This Row],[Personal care and effects]])</f>
        <v>133.19999999999999</v>
      </c>
      <c r="N217" s="5">
        <f>AVERAGE(All_India_Index_Upto_April23__1___1[[#This Row],[Miscellaneous]])</f>
        <v>141.6</v>
      </c>
      <c r="O217" s="5">
        <f>AVERAGE(All_India_Index_Upto_April23__1___1[[#This Row],[General index]])</f>
        <v>141.9</v>
      </c>
      <c r="P217" s="2">
        <f t="shared" si="43"/>
        <v>1307.2756410256411</v>
      </c>
      <c r="R217" s="10">
        <f t="shared" si="44"/>
        <v>10.433324343540834</v>
      </c>
      <c r="S217" s="10">
        <f t="shared" si="45"/>
        <v>12.42278176870081</v>
      </c>
      <c r="T217" s="10">
        <f t="shared" si="46"/>
        <v>11.430897099566039</v>
      </c>
      <c r="U217" s="10">
        <f t="shared" si="47"/>
        <v>11.397749282859735</v>
      </c>
      <c r="V217" s="10">
        <f t="shared" si="48"/>
        <v>11.439821511756197</v>
      </c>
      <c r="W217" s="10">
        <f t="shared" si="49"/>
        <v>9.8602005540981192</v>
      </c>
      <c r="X217" s="10">
        <f t="shared" si="50"/>
        <v>10.961728001569128</v>
      </c>
      <c r="Y217" s="10">
        <f t="shared" si="51"/>
        <v>11.864368548802313</v>
      </c>
      <c r="Z217" s="10">
        <f t="shared" si="52"/>
        <v>10.189128889106822</v>
      </c>
    </row>
    <row r="218" spans="1:26" hidden="1" x14ac:dyDescent="0.3">
      <c r="A218" s="6" t="s">
        <v>32</v>
      </c>
      <c r="B218" s="6">
        <v>2018</v>
      </c>
      <c r="C218" s="6" t="s">
        <v>54</v>
      </c>
      <c r="D218" s="21">
        <f t="shared" si="42"/>
        <v>43435</v>
      </c>
      <c r="E218" s="4">
        <f>AVERAGE(All_India_Index_Upto_April23__1___1[[#This Row],[Cereals and products]:[Food and beverages]])</f>
        <v>134.35384615384615</v>
      </c>
      <c r="F218" s="5">
        <f>AVERAGE(All_India_Index_Upto_April23__1___1[[#This Row],[Pan, tobacco and intoxicants]])</f>
        <v>164.6</v>
      </c>
      <c r="G218" s="4">
        <f>AVERAGE(All_India_Index_Upto_April23__1___1[[#This Row],[Clothing]:[Clothing and footwear]])</f>
        <v>137.93333333333334</v>
      </c>
      <c r="H218" s="5">
        <f>AVERAGE(All_India_Index_Upto_April23__1___1[[#This Row],[Housing]:[Fuel and light]])</f>
        <v>132.4</v>
      </c>
      <c r="I218" s="5">
        <f>AVERAGE(All_India_Index_Upto_April23__1___1[[#This Row],[Household goods and services]:[Health]])</f>
        <v>136.75</v>
      </c>
      <c r="J218" s="5">
        <f>AVERAGE(All_India_Index_Upto_April23__1___1[[#This Row],[Transport and communication]])</f>
        <v>118.8</v>
      </c>
      <c r="K218" s="5">
        <f>AVERAGE(All_India_Index_Upto_April23__1___1[[#This Row],[Recreation and amusement]])</f>
        <v>131.69999999999999</v>
      </c>
      <c r="L218" s="5">
        <f>AVERAGE(All_India_Index_Upto_April23__1___1[[#This Row],[Education]])</f>
        <v>146.5</v>
      </c>
      <c r="M218" s="5">
        <f>AVERAGE(All_India_Index_Upto_April23__1___1[[#This Row],[Personal care and effects]])</f>
        <v>130.80000000000001</v>
      </c>
      <c r="N218" s="5">
        <f>AVERAGE(All_India_Index_Upto_April23__1___1[[#This Row],[Miscellaneous]])</f>
        <v>131.69999999999999</v>
      </c>
      <c r="O218" s="5">
        <f>AVERAGE(All_India_Index_Upto_April23__1___1[[#This Row],[General index]])</f>
        <v>138</v>
      </c>
      <c r="P218" s="2">
        <f t="shared" si="43"/>
        <v>1233.8371794871794</v>
      </c>
      <c r="R218" s="10">
        <f t="shared" si="44"/>
        <v>10.889106633152986</v>
      </c>
      <c r="S218" s="10">
        <f t="shared" si="45"/>
        <v>13.340496034364341</v>
      </c>
      <c r="T218" s="10">
        <f t="shared" si="46"/>
        <v>11.179216806439781</v>
      </c>
      <c r="U218" s="10">
        <f t="shared" si="47"/>
        <v>10.730751366645437</v>
      </c>
      <c r="V218" s="10">
        <f t="shared" si="48"/>
        <v>11.08331004070063</v>
      </c>
      <c r="W218" s="10">
        <f t="shared" si="49"/>
        <v>9.6284989604039115</v>
      </c>
      <c r="X218" s="10">
        <f t="shared" si="50"/>
        <v>10.674017786912415</v>
      </c>
      <c r="Y218" s="10">
        <f t="shared" si="51"/>
        <v>11.873527758410548</v>
      </c>
      <c r="Z218" s="10">
        <f t="shared" si="52"/>
        <v>10.601074612969963</v>
      </c>
    </row>
    <row r="219" spans="1:26" hidden="1" x14ac:dyDescent="0.3">
      <c r="A219" s="5" t="s">
        <v>34</v>
      </c>
      <c r="B219" s="5">
        <v>2018</v>
      </c>
      <c r="C219" s="5" t="s">
        <v>54</v>
      </c>
      <c r="D219" s="21">
        <f t="shared" si="42"/>
        <v>43435</v>
      </c>
      <c r="E219" s="4">
        <f>AVERAGE(All_India_Index_Upto_April23__1___1[[#This Row],[Cereals and products]:[Food and beverages]])</f>
        <v>135.59999999999997</v>
      </c>
      <c r="F219" s="5">
        <f>AVERAGE(All_India_Index_Upto_April23__1___1[[#This Row],[Pan, tobacco and intoxicants]])</f>
        <v>163</v>
      </c>
      <c r="G219" s="4">
        <f>AVERAGE(All_India_Index_Upto_April23__1___1[[#This Row],[Clothing]:[Clothing and footwear]])</f>
        <v>144.76666666666668</v>
      </c>
      <c r="H219" s="5">
        <f>AVERAGE(All_India_Index_Upto_April23__1___1[[#This Row],[Housing]:[Fuel and light]])</f>
        <v>142.69999999999999</v>
      </c>
      <c r="I219" s="5">
        <f>AVERAGE(All_India_Index_Upto_April23__1___1[[#This Row],[Household goods and services]:[Health]])</f>
        <v>144.05000000000001</v>
      </c>
      <c r="J219" s="5">
        <f>AVERAGE(All_India_Index_Upto_April23__1___1[[#This Row],[Transport and communication]])</f>
        <v>123.6</v>
      </c>
      <c r="K219" s="5">
        <f>AVERAGE(All_India_Index_Upto_April23__1___1[[#This Row],[Recreation and amusement]])</f>
        <v>136.80000000000001</v>
      </c>
      <c r="L219" s="5">
        <f>AVERAGE(All_India_Index_Upto_April23__1___1[[#This Row],[Education]])</f>
        <v>150.1</v>
      </c>
      <c r="M219" s="5">
        <f>AVERAGE(All_India_Index_Upto_April23__1___1[[#This Row],[Personal care and effects]])</f>
        <v>132.19999999999999</v>
      </c>
      <c r="N219" s="5">
        <f>AVERAGE(All_India_Index_Upto_April23__1___1[[#This Row],[Miscellaneous]])</f>
        <v>136.80000000000001</v>
      </c>
      <c r="O219" s="5">
        <f>AVERAGE(All_India_Index_Upto_April23__1___1[[#This Row],[General index]])</f>
        <v>140.1</v>
      </c>
      <c r="P219" s="2">
        <f>AVERAGE(E219:N219)</f>
        <v>140.96166666666664</v>
      </c>
      <c r="R219" s="10">
        <f t="shared" si="44"/>
        <v>96.19636544214147</v>
      </c>
      <c r="S219" s="10">
        <f t="shared" si="45"/>
        <v>115.63427409342968</v>
      </c>
      <c r="T219" s="10">
        <f t="shared" si="46"/>
        <v>102.69931541672088</v>
      </c>
      <c r="U219" s="10">
        <f t="shared" si="47"/>
        <v>101.23319578608843</v>
      </c>
      <c r="V219" s="10">
        <f t="shared" si="48"/>
        <v>102.19090296416286</v>
      </c>
      <c r="W219" s="10">
        <f t="shared" si="49"/>
        <v>87.683412748146665</v>
      </c>
      <c r="X219" s="10">
        <f t="shared" si="50"/>
        <v>97.047660711540985</v>
      </c>
      <c r="Y219" s="10">
        <f t="shared" si="51"/>
        <v>106.48284994738523</v>
      </c>
      <c r="Z219" s="10">
        <f t="shared" si="52"/>
        <v>93.784362178842954</v>
      </c>
    </row>
    <row r="220" spans="1:26" hidden="1" x14ac:dyDescent="0.3">
      <c r="A220" s="6" t="s">
        <v>30</v>
      </c>
      <c r="B220" s="6">
        <v>2019</v>
      </c>
      <c r="C220" s="6" t="s">
        <v>31</v>
      </c>
      <c r="D220" s="21">
        <f t="shared" si="42"/>
        <v>43466</v>
      </c>
      <c r="E220" s="4">
        <f>AVERAGE(All_India_Index_Upto_April23__1___1[[#This Row],[Cereals and products]:[Food and beverages]])</f>
        <v>135.35384615384618</v>
      </c>
      <c r="F220" s="5">
        <f>AVERAGE(All_India_Index_Upto_April23__1___1[[#This Row],[Pan, tobacco and intoxicants]])</f>
        <v>162.69999999999999</v>
      </c>
      <c r="G220" s="4">
        <f>AVERAGE(All_India_Index_Upto_April23__1___1[[#This Row],[Clothing]:[Clothing and footwear]])</f>
        <v>148.53333333333333</v>
      </c>
      <c r="H220" s="5">
        <f>AVERAGE(All_India_Index_Upto_April23__1___1[[#This Row],[Housing]:[Fuel and light]])</f>
        <v>146.19999999999999</v>
      </c>
      <c r="I220" s="5">
        <f>AVERAGE(All_India_Index_Upto_April23__1___1[[#This Row],[Household goods and services]:[Health]])</f>
        <v>149.85</v>
      </c>
      <c r="J220" s="5">
        <f>AVERAGE(All_India_Index_Upto_April23__1___1[[#This Row],[Transport and communication]])</f>
        <v>128.6</v>
      </c>
      <c r="K220" s="5">
        <f>AVERAGE(All_India_Index_Upto_April23__1___1[[#This Row],[Recreation and amusement]])</f>
        <v>142.9</v>
      </c>
      <c r="L220" s="5">
        <f>AVERAGE(All_India_Index_Upto_April23__1___1[[#This Row],[Education]])</f>
        <v>155.19999999999999</v>
      </c>
      <c r="M220" s="5">
        <f>AVERAGE(All_India_Index_Upto_April23__1___1[[#This Row],[Personal care and effects]])</f>
        <v>133.5</v>
      </c>
      <c r="N220" s="5">
        <f>AVERAGE(All_India_Index_Upto_April23__1___1[[#This Row],[Miscellaneous]])</f>
        <v>141.69999999999999</v>
      </c>
      <c r="O220" s="5">
        <f>AVERAGE(All_India_Index_Upto_April23__1___1[[#This Row],[General index]])</f>
        <v>141</v>
      </c>
      <c r="P220" s="2">
        <f t="shared" si="43"/>
        <v>1302.8371794871794</v>
      </c>
      <c r="R220" s="10">
        <f t="shared" si="44"/>
        <v>10.389160540162351</v>
      </c>
      <c r="S220" s="10">
        <f t="shared" si="45"/>
        <v>12.488129949134679</v>
      </c>
      <c r="T220" s="10">
        <f t="shared" si="46"/>
        <v>11.400759486446248</v>
      </c>
      <c r="U220" s="10">
        <f t="shared" si="47"/>
        <v>11.221663174944622</v>
      </c>
      <c r="V220" s="10">
        <f t="shared" si="48"/>
        <v>11.501820976507879</v>
      </c>
      <c r="W220" s="10">
        <f t="shared" si="49"/>
        <v>9.8707652824752294</v>
      </c>
      <c r="X220" s="10">
        <f t="shared" si="50"/>
        <v>10.968369820106613</v>
      </c>
      <c r="Y220" s="10">
        <f t="shared" si="51"/>
        <v>11.912463233593746</v>
      </c>
      <c r="Z220" s="10">
        <f t="shared" si="52"/>
        <v>10.246867536628642</v>
      </c>
    </row>
    <row r="221" spans="1:26" hidden="1" x14ac:dyDescent="0.3">
      <c r="A221" s="5" t="s">
        <v>32</v>
      </c>
      <c r="B221" s="5">
        <v>2019</v>
      </c>
      <c r="C221" s="5" t="s">
        <v>31</v>
      </c>
      <c r="D221" s="21">
        <f t="shared" si="42"/>
        <v>43466</v>
      </c>
      <c r="E221" s="4">
        <f>AVERAGE(All_India_Index_Upto_April23__1___1[[#This Row],[Cereals and products]:[Food and beverages]])</f>
        <v>134.17692307692309</v>
      </c>
      <c r="F221" s="5">
        <f>AVERAGE(All_India_Index_Upto_April23__1___1[[#This Row],[Pan, tobacco and intoxicants]])</f>
        <v>164.7</v>
      </c>
      <c r="G221" s="4">
        <f>AVERAGE(All_India_Index_Upto_April23__1___1[[#This Row],[Clothing]:[Clothing and footwear]])</f>
        <v>138.16666666666666</v>
      </c>
      <c r="H221" s="5">
        <f>AVERAGE(All_India_Index_Upto_April23__1___1[[#This Row],[Housing]:[Fuel and light]])</f>
        <v>128.6</v>
      </c>
      <c r="I221" s="5">
        <f>AVERAGE(All_India_Index_Upto_April23__1___1[[#This Row],[Household goods and services]:[Health]])</f>
        <v>137.05000000000001</v>
      </c>
      <c r="J221" s="5">
        <f>AVERAGE(All_India_Index_Upto_April23__1___1[[#This Row],[Transport and communication]])</f>
        <v>118.6</v>
      </c>
      <c r="K221" s="5">
        <f>AVERAGE(All_India_Index_Upto_April23__1___1[[#This Row],[Recreation and amusement]])</f>
        <v>131.9</v>
      </c>
      <c r="L221" s="5">
        <f>AVERAGE(All_India_Index_Upto_April23__1___1[[#This Row],[Education]])</f>
        <v>146.6</v>
      </c>
      <c r="M221" s="5">
        <f>AVERAGE(All_India_Index_Upto_April23__1___1[[#This Row],[Personal care and effects]])</f>
        <v>131.69999999999999</v>
      </c>
      <c r="N221" s="5">
        <f>AVERAGE(All_India_Index_Upto_April23__1___1[[#This Row],[Miscellaneous]])</f>
        <v>131.80000000000001</v>
      </c>
      <c r="O221" s="5">
        <f>AVERAGE(All_India_Index_Upto_April23__1___1[[#This Row],[General index]])</f>
        <v>138</v>
      </c>
      <c r="P221" s="2">
        <f t="shared" si="43"/>
        <v>1231.4935897435896</v>
      </c>
      <c r="R221" s="10">
        <f t="shared" si="44"/>
        <v>10.895462566302125</v>
      </c>
      <c r="S221" s="10">
        <f t="shared" si="45"/>
        <v>13.374003841489124</v>
      </c>
      <c r="T221" s="10">
        <f t="shared" si="46"/>
        <v>11.219438559597737</v>
      </c>
      <c r="U221" s="10">
        <f t="shared" si="47"/>
        <v>10.442604092383128</v>
      </c>
      <c r="V221" s="10">
        <f t="shared" si="48"/>
        <v>11.128762759417636</v>
      </c>
      <c r="W221" s="10">
        <f t="shared" si="49"/>
        <v>9.6305820012180341</v>
      </c>
      <c r="X221" s="10">
        <f t="shared" si="50"/>
        <v>10.710571382467613</v>
      </c>
      <c r="Y221" s="10">
        <f t="shared" si="51"/>
        <v>11.904243856480301</v>
      </c>
      <c r="Z221" s="10">
        <f t="shared" si="52"/>
        <v>10.694330940644308</v>
      </c>
    </row>
    <row r="222" spans="1:26" hidden="1" x14ac:dyDescent="0.3">
      <c r="A222" s="6" t="s">
        <v>34</v>
      </c>
      <c r="B222" s="6">
        <v>2019</v>
      </c>
      <c r="C222" s="6" t="s">
        <v>31</v>
      </c>
      <c r="D222" s="21">
        <f t="shared" si="42"/>
        <v>43466</v>
      </c>
      <c r="E222" s="4">
        <f>AVERAGE(All_India_Index_Upto_April23__1___1[[#This Row],[Cereals and products]:[Food and beverages]])</f>
        <v>134.87692307692308</v>
      </c>
      <c r="F222" s="5">
        <f>AVERAGE(All_India_Index_Upto_April23__1___1[[#This Row],[Pan, tobacco and intoxicants]])</f>
        <v>163.19999999999999</v>
      </c>
      <c r="G222" s="4">
        <f>AVERAGE(All_India_Index_Upto_April23__1___1[[#This Row],[Clothing]:[Clothing and footwear]])</f>
        <v>144.33333333333334</v>
      </c>
      <c r="H222" s="5">
        <f>AVERAGE(All_India_Index_Upto_April23__1___1[[#This Row],[Housing]:[Fuel and light]])</f>
        <v>139.5</v>
      </c>
      <c r="I222" s="5">
        <f>AVERAGE(All_India_Index_Upto_April23__1___1[[#This Row],[Household goods and services]:[Health]])</f>
        <v>144.35</v>
      </c>
      <c r="J222" s="5">
        <f>AVERAGE(All_India_Index_Upto_April23__1___1[[#This Row],[Transport and communication]])</f>
        <v>123.3</v>
      </c>
      <c r="K222" s="5">
        <f>AVERAGE(All_India_Index_Upto_April23__1___1[[#This Row],[Recreation and amusement]])</f>
        <v>136.69999999999999</v>
      </c>
      <c r="L222" s="5">
        <f>AVERAGE(All_India_Index_Upto_April23__1___1[[#This Row],[Education]])</f>
        <v>150.19999999999999</v>
      </c>
      <c r="M222" s="5">
        <f>AVERAGE(All_India_Index_Upto_April23__1___1[[#This Row],[Personal care and effects]])</f>
        <v>132.80000000000001</v>
      </c>
      <c r="N222" s="5">
        <f>AVERAGE(All_India_Index_Upto_April23__1___1[[#This Row],[Miscellaneous]])</f>
        <v>136.9</v>
      </c>
      <c r="O222" s="5">
        <f>AVERAGE(All_India_Index_Upto_April23__1___1[[#This Row],[General index]])</f>
        <v>139.6</v>
      </c>
      <c r="P222" s="2">
        <f>AVERAGE(E222:N222)</f>
        <v>140.61602564102566</v>
      </c>
      <c r="R222" s="10">
        <f t="shared" si="44"/>
        <v>95.918599933443033</v>
      </c>
      <c r="S222" s="10">
        <f t="shared" si="45"/>
        <v>116.06074005862482</v>
      </c>
      <c r="T222" s="10">
        <f t="shared" si="46"/>
        <v>102.64358751099785</v>
      </c>
      <c r="U222" s="10">
        <f t="shared" si="47"/>
        <v>99.206331116287743</v>
      </c>
      <c r="V222" s="10">
        <f t="shared" si="48"/>
        <v>102.65544011925545</v>
      </c>
      <c r="W222" s="10">
        <f t="shared" si="49"/>
        <v>87.685595889880148</v>
      </c>
      <c r="X222" s="10">
        <f t="shared" si="50"/>
        <v>97.215092929007412</v>
      </c>
      <c r="Y222" s="10">
        <f t="shared" si="51"/>
        <v>106.81570561768044</v>
      </c>
      <c r="Z222" s="10">
        <f t="shared" si="52"/>
        <v>94.441582596724118</v>
      </c>
    </row>
    <row r="223" spans="1:26" hidden="1" x14ac:dyDescent="0.3">
      <c r="A223" s="5" t="s">
        <v>30</v>
      </c>
      <c r="B223" s="5">
        <v>2019</v>
      </c>
      <c r="C223" s="5" t="s">
        <v>35</v>
      </c>
      <c r="D223" s="21">
        <f t="shared" si="42"/>
        <v>43497</v>
      </c>
      <c r="E223" s="4">
        <f>AVERAGE(All_India_Index_Upto_April23__1___1[[#This Row],[Cereals and products]:[Food and beverages]])</f>
        <v>135.3692307692308</v>
      </c>
      <c r="F223" s="5">
        <f>AVERAGE(All_India_Index_Upto_April23__1___1[[#This Row],[Pan, tobacco and intoxicants]])</f>
        <v>162.80000000000001</v>
      </c>
      <c r="G223" s="4">
        <f>AVERAGE(All_India_Index_Upto_April23__1___1[[#This Row],[Clothing]:[Clothing and footwear]])</f>
        <v>148.83333333333334</v>
      </c>
      <c r="H223" s="5">
        <f>AVERAGE(All_India_Index_Upto_April23__1___1[[#This Row],[Housing]:[Fuel and light]])</f>
        <v>145.30000000000001</v>
      </c>
      <c r="I223" s="5">
        <f>AVERAGE(All_India_Index_Upto_April23__1___1[[#This Row],[Household goods and services]:[Health]])</f>
        <v>150</v>
      </c>
      <c r="J223" s="5">
        <f>AVERAGE(All_India_Index_Upto_April23__1___1[[#This Row],[Transport and communication]])</f>
        <v>129.19999999999999</v>
      </c>
      <c r="K223" s="5">
        <f>AVERAGE(All_India_Index_Upto_April23__1___1[[#This Row],[Recreation and amusement]])</f>
        <v>143.4</v>
      </c>
      <c r="L223" s="5">
        <f>AVERAGE(All_India_Index_Upto_April23__1___1[[#This Row],[Education]])</f>
        <v>155.5</v>
      </c>
      <c r="M223" s="5">
        <f>AVERAGE(All_India_Index_Upto_April23__1___1[[#This Row],[Personal care and effects]])</f>
        <v>134.9</v>
      </c>
      <c r="N223" s="5">
        <f>AVERAGE(All_India_Index_Upto_April23__1___1[[#This Row],[Miscellaneous]])</f>
        <v>142.19999999999999</v>
      </c>
      <c r="O223" s="5">
        <f>AVERAGE(All_India_Index_Upto_April23__1___1[[#This Row],[General index]])</f>
        <v>141</v>
      </c>
      <c r="P223" s="2">
        <f t="shared" si="43"/>
        <v>1305.3025641025642</v>
      </c>
      <c r="R223" s="10">
        <f t="shared" si="44"/>
        <v>10.370716682250702</v>
      </c>
      <c r="S223" s="10">
        <f t="shared" si="45"/>
        <v>12.472204106327641</v>
      </c>
      <c r="T223" s="10">
        <f t="shared" si="46"/>
        <v>11.402209528000188</v>
      </c>
      <c r="U223" s="10">
        <f t="shared" si="47"/>
        <v>11.131518775487754</v>
      </c>
      <c r="V223" s="10">
        <f t="shared" si="48"/>
        <v>11.49158855005618</v>
      </c>
      <c r="W223" s="10">
        <f t="shared" si="49"/>
        <v>9.8980882711150553</v>
      </c>
      <c r="X223" s="10">
        <f t="shared" si="50"/>
        <v>10.985958653853709</v>
      </c>
      <c r="Y223" s="10">
        <f t="shared" si="51"/>
        <v>11.912946796891573</v>
      </c>
      <c r="Z223" s="10">
        <f t="shared" si="52"/>
        <v>10.334768636017191</v>
      </c>
    </row>
    <row r="224" spans="1:26" hidden="1" x14ac:dyDescent="0.3">
      <c r="A224" s="6" t="s">
        <v>32</v>
      </c>
      <c r="B224" s="6">
        <v>2019</v>
      </c>
      <c r="C224" s="6" t="s">
        <v>35</v>
      </c>
      <c r="D224" s="21">
        <f t="shared" si="42"/>
        <v>43497</v>
      </c>
      <c r="E224" s="4">
        <f>AVERAGE(All_India_Index_Upto_April23__1___1[[#This Row],[Cereals and products]:[Food and beverages]])</f>
        <v>134.95384615384617</v>
      </c>
      <c r="F224" s="5">
        <f>AVERAGE(All_India_Index_Upto_April23__1___1[[#This Row],[Pan, tobacco and intoxicants]])</f>
        <v>164.9</v>
      </c>
      <c r="G224" s="4">
        <f>AVERAGE(All_India_Index_Upto_April23__1___1[[#This Row],[Clothing]:[Clothing and footwear]])</f>
        <v>138.5</v>
      </c>
      <c r="H224" s="5">
        <f>AVERAGE(All_India_Index_Upto_April23__1___1[[#This Row],[Housing]:[Fuel and light]])</f>
        <v>127.1</v>
      </c>
      <c r="I224" s="5">
        <f>AVERAGE(All_India_Index_Upto_April23__1___1[[#This Row],[Household goods and services]:[Health]])</f>
        <v>137.55000000000001</v>
      </c>
      <c r="J224" s="5">
        <f>AVERAGE(All_India_Index_Upto_April23__1___1[[#This Row],[Transport and communication]])</f>
        <v>119.2</v>
      </c>
      <c r="K224" s="5">
        <f>AVERAGE(All_India_Index_Upto_April23__1___1[[#This Row],[Recreation and amusement]])</f>
        <v>132.19999999999999</v>
      </c>
      <c r="L224" s="5">
        <f>AVERAGE(All_India_Index_Upto_April23__1___1[[#This Row],[Education]])</f>
        <v>146.6</v>
      </c>
      <c r="M224" s="5">
        <f>AVERAGE(All_India_Index_Upto_April23__1___1[[#This Row],[Personal care and effects]])</f>
        <v>133</v>
      </c>
      <c r="N224" s="5">
        <f>AVERAGE(All_India_Index_Upto_April23__1___1[[#This Row],[Miscellaneous]])</f>
        <v>132.4</v>
      </c>
      <c r="O224" s="5">
        <f>AVERAGE(All_India_Index_Upto_April23__1___1[[#This Row],[General index]])</f>
        <v>138.6</v>
      </c>
      <c r="P224" s="2">
        <f t="shared" si="43"/>
        <v>1234.0038461538461</v>
      </c>
      <c r="R224" s="10">
        <f t="shared" si="44"/>
        <v>10.936258146558577</v>
      </c>
      <c r="S224" s="10">
        <f t="shared" si="45"/>
        <v>13.363005351560432</v>
      </c>
      <c r="T224" s="10">
        <f t="shared" si="46"/>
        <v>11.223627902917645</v>
      </c>
      <c r="U224" s="10">
        <f t="shared" si="47"/>
        <v>10.299805822821897</v>
      </c>
      <c r="V224" s="10">
        <f t="shared" si="48"/>
        <v>11.146642729576334</v>
      </c>
      <c r="W224" s="10">
        <f t="shared" si="49"/>
        <v>9.6596133287204573</v>
      </c>
      <c r="X224" s="10">
        <f t="shared" si="50"/>
        <v>10.713094648127889</v>
      </c>
      <c r="Y224" s="10">
        <f t="shared" si="51"/>
        <v>11.880027801933045</v>
      </c>
      <c r="Z224" s="10">
        <f t="shared" si="52"/>
        <v>10.777924267783732</v>
      </c>
    </row>
    <row r="225" spans="1:26" hidden="1" x14ac:dyDescent="0.3">
      <c r="A225" s="5" t="s">
        <v>34</v>
      </c>
      <c r="B225" s="5">
        <v>2019</v>
      </c>
      <c r="C225" s="5" t="s">
        <v>35</v>
      </c>
      <c r="D225" s="21">
        <f t="shared" si="42"/>
        <v>43497</v>
      </c>
      <c r="E225" s="4">
        <f>AVERAGE(All_India_Index_Upto_April23__1___1[[#This Row],[Cereals and products]:[Food and beverages]])</f>
        <v>135.16153846153844</v>
      </c>
      <c r="F225" s="5">
        <f>AVERAGE(All_India_Index_Upto_April23__1___1[[#This Row],[Pan, tobacco and intoxicants]])</f>
        <v>163.4</v>
      </c>
      <c r="G225" s="4">
        <f>AVERAGE(All_India_Index_Upto_April23__1___1[[#This Row],[Clothing]:[Clothing and footwear]])</f>
        <v>144.63333333333333</v>
      </c>
      <c r="H225" s="5">
        <f>AVERAGE(All_India_Index_Upto_April23__1___1[[#This Row],[Housing]:[Fuel and light]])</f>
        <v>138.4</v>
      </c>
      <c r="I225" s="5">
        <f>AVERAGE(All_India_Index_Upto_April23__1___1[[#This Row],[Household goods and services]:[Health]])</f>
        <v>144.64999999999998</v>
      </c>
      <c r="J225" s="5">
        <f>AVERAGE(All_India_Index_Upto_April23__1___1[[#This Row],[Transport and communication]])</f>
        <v>123.9</v>
      </c>
      <c r="K225" s="5">
        <f>AVERAGE(All_India_Index_Upto_April23__1___1[[#This Row],[Recreation and amusement]])</f>
        <v>137.1</v>
      </c>
      <c r="L225" s="5">
        <f>AVERAGE(All_India_Index_Upto_April23__1___1[[#This Row],[Education]])</f>
        <v>150.30000000000001</v>
      </c>
      <c r="M225" s="5">
        <f>AVERAGE(All_India_Index_Upto_April23__1___1[[#This Row],[Personal care and effects]])</f>
        <v>134.1</v>
      </c>
      <c r="N225" s="5">
        <f>AVERAGE(All_India_Index_Upto_April23__1___1[[#This Row],[Miscellaneous]])</f>
        <v>137.4</v>
      </c>
      <c r="O225" s="5">
        <f>AVERAGE(All_India_Index_Upto_April23__1___1[[#This Row],[General index]])</f>
        <v>139.9</v>
      </c>
      <c r="P225" s="2">
        <f>AVERAGE(E225:N225)</f>
        <v>140.90448717948718</v>
      </c>
      <c r="R225" s="10">
        <f t="shared" si="44"/>
        <v>95.924225812174996</v>
      </c>
      <c r="S225" s="10">
        <f t="shared" si="45"/>
        <v>115.96507909067336</v>
      </c>
      <c r="T225" s="10">
        <f t="shared" si="46"/>
        <v>102.64636437666906</v>
      </c>
      <c r="U225" s="10">
        <f t="shared" si="47"/>
        <v>98.22256392992162</v>
      </c>
      <c r="V225" s="10">
        <f t="shared" si="48"/>
        <v>102.65819272010954</v>
      </c>
      <c r="W225" s="10">
        <f t="shared" si="49"/>
        <v>87.931905136685614</v>
      </c>
      <c r="X225" s="10">
        <f t="shared" si="50"/>
        <v>97.299953141562526</v>
      </c>
      <c r="Y225" s="10">
        <f t="shared" si="51"/>
        <v>106.66800114643947</v>
      </c>
      <c r="Z225" s="10">
        <f t="shared" si="52"/>
        <v>95.170851322272313</v>
      </c>
    </row>
    <row r="226" spans="1:26" hidden="1" x14ac:dyDescent="0.3">
      <c r="A226" s="6" t="s">
        <v>30</v>
      </c>
      <c r="B226" s="6">
        <v>2019</v>
      </c>
      <c r="C226" s="6" t="s">
        <v>37</v>
      </c>
      <c r="D226" s="21">
        <f t="shared" si="42"/>
        <v>43525</v>
      </c>
      <c r="E226" s="4">
        <f>AVERAGE(All_India_Index_Upto_April23__1___1[[#This Row],[Cereals and products]:[Food and beverages]])</f>
        <v>135.4769230769231</v>
      </c>
      <c r="F226" s="5">
        <f>AVERAGE(All_India_Index_Upto_April23__1___1[[#This Row],[Pan, tobacco and intoxicants]])</f>
        <v>162.9</v>
      </c>
      <c r="G226" s="4">
        <f>AVERAGE(All_India_Index_Upto_April23__1___1[[#This Row],[Clothing]:[Clothing and footwear]])</f>
        <v>149</v>
      </c>
      <c r="H226" s="5">
        <f>AVERAGE(All_India_Index_Upto_April23__1___1[[#This Row],[Housing]:[Fuel and light]])</f>
        <v>146.4</v>
      </c>
      <c r="I226" s="5">
        <f>AVERAGE(All_India_Index_Upto_April23__1___1[[#This Row],[Household goods and services]:[Health]])</f>
        <v>150.19999999999999</v>
      </c>
      <c r="J226" s="5">
        <f>AVERAGE(All_India_Index_Upto_April23__1___1[[#This Row],[Transport and communication]])</f>
        <v>129.9</v>
      </c>
      <c r="K226" s="5">
        <f>AVERAGE(All_India_Index_Upto_April23__1___1[[#This Row],[Recreation and amusement]])</f>
        <v>143.80000000000001</v>
      </c>
      <c r="L226" s="5">
        <f>AVERAGE(All_India_Index_Upto_April23__1___1[[#This Row],[Education]])</f>
        <v>155.5</v>
      </c>
      <c r="M226" s="5">
        <f>AVERAGE(All_India_Index_Upto_April23__1___1[[#This Row],[Personal care and effects]])</f>
        <v>134</v>
      </c>
      <c r="N226" s="5">
        <f>AVERAGE(All_India_Index_Upto_April23__1___1[[#This Row],[Miscellaneous]])</f>
        <v>142.4</v>
      </c>
      <c r="O226" s="5">
        <f>AVERAGE(All_India_Index_Upto_April23__1___1[[#This Row],[General index]])</f>
        <v>141.19999999999999</v>
      </c>
      <c r="P226" s="2">
        <f t="shared" si="43"/>
        <v>1307.1769230769232</v>
      </c>
      <c r="R226" s="10">
        <f t="shared" si="44"/>
        <v>10.364084668663534</v>
      </c>
      <c r="S226" s="10">
        <f t="shared" si="45"/>
        <v>12.461970305944106</v>
      </c>
      <c r="T226" s="10">
        <f t="shared" si="46"/>
        <v>11.398610040427696</v>
      </c>
      <c r="U226" s="10">
        <f t="shared" si="47"/>
        <v>11.19970812025916</v>
      </c>
      <c r="V226" s="10">
        <f t="shared" si="48"/>
        <v>11.490410926659328</v>
      </c>
      <c r="W226" s="10">
        <f t="shared" si="49"/>
        <v>9.9374459345742139</v>
      </c>
      <c r="X226" s="10">
        <f t="shared" si="50"/>
        <v>11.000806200090624</v>
      </c>
      <c r="Y226" s="10">
        <f t="shared" si="51"/>
        <v>11.89586484084904</v>
      </c>
      <c r="Z226" s="10">
        <f t="shared" si="52"/>
        <v>10.251098962532291</v>
      </c>
    </row>
    <row r="227" spans="1:26" hidden="1" x14ac:dyDescent="0.3">
      <c r="A227" s="5" t="s">
        <v>32</v>
      </c>
      <c r="B227" s="5">
        <v>2019</v>
      </c>
      <c r="C227" s="5" t="s">
        <v>37</v>
      </c>
      <c r="D227" s="21">
        <f t="shared" si="42"/>
        <v>43525</v>
      </c>
      <c r="E227" s="4">
        <f>AVERAGE(All_India_Index_Upto_April23__1___1[[#This Row],[Cereals and products]:[Food and beverages]])</f>
        <v>136.03076923076924</v>
      </c>
      <c r="F227" s="5">
        <f>AVERAGE(All_India_Index_Upto_April23__1___1[[#This Row],[Pan, tobacco and intoxicants]])</f>
        <v>165.3</v>
      </c>
      <c r="G227" s="4">
        <f>AVERAGE(All_India_Index_Upto_April23__1___1[[#This Row],[Clothing]:[Clothing and footwear]])</f>
        <v>138.76666666666665</v>
      </c>
      <c r="H227" s="5">
        <f>AVERAGE(All_India_Index_Upto_April23__1___1[[#This Row],[Housing]:[Fuel and light]])</f>
        <v>128.80000000000001</v>
      </c>
      <c r="I227" s="5">
        <f>AVERAGE(All_India_Index_Upto_April23__1___1[[#This Row],[Household goods and services]:[Health]])</f>
        <v>138</v>
      </c>
      <c r="J227" s="5">
        <f>AVERAGE(All_India_Index_Upto_April23__1___1[[#This Row],[Transport and communication]])</f>
        <v>119.9</v>
      </c>
      <c r="K227" s="5">
        <f>AVERAGE(All_India_Index_Upto_April23__1___1[[#This Row],[Recreation and amusement]])</f>
        <v>133</v>
      </c>
      <c r="L227" s="5">
        <f>AVERAGE(All_India_Index_Upto_April23__1___1[[#This Row],[Education]])</f>
        <v>146.69999999999999</v>
      </c>
      <c r="M227" s="5">
        <f>AVERAGE(All_India_Index_Upto_April23__1___1[[#This Row],[Personal care and effects]])</f>
        <v>132.5</v>
      </c>
      <c r="N227" s="5">
        <f>AVERAGE(All_India_Index_Upto_April23__1___1[[#This Row],[Miscellaneous]])</f>
        <v>132.80000000000001</v>
      </c>
      <c r="O227" s="5">
        <f>AVERAGE(All_India_Index_Upto_April23__1___1[[#This Row],[General index]])</f>
        <v>139.5</v>
      </c>
      <c r="P227" s="2">
        <f t="shared" si="43"/>
        <v>1238.9974358974359</v>
      </c>
      <c r="R227" s="10">
        <f t="shared" si="44"/>
        <v>10.979100140932806</v>
      </c>
      <c r="S227" s="10">
        <f t="shared" si="45"/>
        <v>13.341431968361517</v>
      </c>
      <c r="T227" s="10">
        <f t="shared" si="46"/>
        <v>11.199915564486588</v>
      </c>
      <c r="U227" s="10">
        <f t="shared" si="47"/>
        <v>10.395501739412968</v>
      </c>
      <c r="V227" s="10">
        <f t="shared" si="48"/>
        <v>11.138037577942464</v>
      </c>
      <c r="W227" s="10">
        <f t="shared" si="49"/>
        <v>9.6771790260529098</v>
      </c>
      <c r="X227" s="10">
        <f t="shared" si="50"/>
        <v>10.734485491785129</v>
      </c>
      <c r="Y227" s="10">
        <f t="shared" si="51"/>
        <v>11.840218207856227</v>
      </c>
      <c r="Z227" s="10">
        <f t="shared" si="52"/>
        <v>10.694130283169393</v>
      </c>
    </row>
    <row r="228" spans="1:26" hidden="1" x14ac:dyDescent="0.3">
      <c r="A228" s="6" t="s">
        <v>34</v>
      </c>
      <c r="B228" s="6">
        <v>2019</v>
      </c>
      <c r="C228" s="6" t="s">
        <v>37</v>
      </c>
      <c r="D228" s="21">
        <f t="shared" si="42"/>
        <v>43525</v>
      </c>
      <c r="E228" s="4">
        <f>AVERAGE(All_India_Index_Upto_April23__1___1[[#This Row],[Cereals and products]:[Food and beverages]])</f>
        <v>135.6076923076923</v>
      </c>
      <c r="F228" s="5">
        <f>AVERAGE(All_India_Index_Upto_April23__1___1[[#This Row],[Pan, tobacco and intoxicants]])</f>
        <v>163.5</v>
      </c>
      <c r="G228" s="4">
        <f>AVERAGE(All_India_Index_Upto_April23__1___1[[#This Row],[Clothing]:[Clothing and footwear]])</f>
        <v>144.83333333333334</v>
      </c>
      <c r="H228" s="5">
        <f>AVERAGE(All_India_Index_Upto_April23__1___1[[#This Row],[Housing]:[Fuel and light]])</f>
        <v>139.69999999999999</v>
      </c>
      <c r="I228" s="5">
        <f>AVERAGE(All_India_Index_Upto_April23__1___1[[#This Row],[Household goods and services]:[Health]])</f>
        <v>145</v>
      </c>
      <c r="J228" s="5">
        <f>AVERAGE(All_India_Index_Upto_April23__1___1[[#This Row],[Transport and communication]])</f>
        <v>124.6</v>
      </c>
      <c r="K228" s="5">
        <f>AVERAGE(All_India_Index_Upto_April23__1___1[[#This Row],[Recreation and amusement]])</f>
        <v>137.69999999999999</v>
      </c>
      <c r="L228" s="5">
        <f>AVERAGE(All_India_Index_Upto_April23__1___1[[#This Row],[Education]])</f>
        <v>150.30000000000001</v>
      </c>
      <c r="M228" s="5">
        <f>AVERAGE(All_India_Index_Upto_April23__1___1[[#This Row],[Personal care and effects]])</f>
        <v>133.4</v>
      </c>
      <c r="N228" s="5">
        <f>AVERAGE(All_India_Index_Upto_April23__1___1[[#This Row],[Miscellaneous]])</f>
        <v>137.69999999999999</v>
      </c>
      <c r="O228" s="5">
        <f>AVERAGE(All_India_Index_Upto_April23__1___1[[#This Row],[General index]])</f>
        <v>140.4</v>
      </c>
      <c r="P228" s="2">
        <f>AVERAGE(E228:N228)</f>
        <v>141.23410256410256</v>
      </c>
      <c r="R228" s="10">
        <f t="shared" si="44"/>
        <v>96.01625233972328</v>
      </c>
      <c r="S228" s="10">
        <f t="shared" si="45"/>
        <v>115.76524156111059</v>
      </c>
      <c r="T228" s="10">
        <f t="shared" si="46"/>
        <v>102.5484147977626</v>
      </c>
      <c r="U228" s="10">
        <f t="shared" si="47"/>
        <v>98.913787437841876</v>
      </c>
      <c r="V228" s="10">
        <f t="shared" si="48"/>
        <v>102.66642217957821</v>
      </c>
      <c r="W228" s="10">
        <f t="shared" si="49"/>
        <v>88.222318645347869</v>
      </c>
      <c r="X228" s="10">
        <f t="shared" si="50"/>
        <v>97.497698856054598</v>
      </c>
      <c r="Y228" s="10">
        <f t="shared" si="51"/>
        <v>106.41905692131451</v>
      </c>
      <c r="Z228" s="10">
        <f t="shared" si="52"/>
        <v>94.453108405211935</v>
      </c>
    </row>
    <row r="229" spans="1:26" hidden="1" x14ac:dyDescent="0.3">
      <c r="A229" s="5" t="s">
        <v>30</v>
      </c>
      <c r="B229" s="5">
        <v>2019</v>
      </c>
      <c r="C229" s="5" t="s">
        <v>40</v>
      </c>
      <c r="D229" s="21">
        <f t="shared" si="42"/>
        <v>43586</v>
      </c>
      <c r="E229" s="4">
        <f>AVERAGE(All_India_Index_Upto_April23__1___1[[#This Row],[Cereals and products]:[Food and beverages]])</f>
        <v>137.0846153846154</v>
      </c>
      <c r="F229" s="5">
        <f>AVERAGE(All_India_Index_Upto_April23__1___1[[#This Row],[Pan, tobacco and intoxicants]])</f>
        <v>163.30000000000001</v>
      </c>
      <c r="G229" s="4">
        <f>AVERAGE(All_India_Index_Upto_April23__1___1[[#This Row],[Clothing]:[Clothing and footwear]])</f>
        <v>149.53333333333333</v>
      </c>
      <c r="H229" s="5">
        <f>AVERAGE(All_India_Index_Upto_April23__1___1[[#This Row],[Housing]:[Fuel and light]])</f>
        <v>146.9</v>
      </c>
      <c r="I229" s="5">
        <f>AVERAGE(All_India_Index_Upto_April23__1___1[[#This Row],[Household goods and services]:[Health]])</f>
        <v>150.4</v>
      </c>
      <c r="J229" s="5">
        <f>AVERAGE(All_India_Index_Upto_April23__1___1[[#This Row],[Transport and communication]])</f>
        <v>130.19999999999999</v>
      </c>
      <c r="K229" s="5">
        <f>AVERAGE(All_India_Index_Upto_April23__1___1[[#This Row],[Recreation and amusement]])</f>
        <v>145.9</v>
      </c>
      <c r="L229" s="5">
        <f>AVERAGE(All_India_Index_Upto_April23__1___1[[#This Row],[Education]])</f>
        <v>156.69999999999999</v>
      </c>
      <c r="M229" s="5">
        <f>AVERAGE(All_India_Index_Upto_April23__1___1[[#This Row],[Personal care and effects]])</f>
        <v>133.9</v>
      </c>
      <c r="N229" s="5">
        <f>AVERAGE(All_India_Index_Upto_April23__1___1[[#This Row],[Miscellaneous]])</f>
        <v>142.9</v>
      </c>
      <c r="O229" s="5">
        <f>AVERAGE(All_India_Index_Upto_April23__1___1[[#This Row],[General index]])</f>
        <v>142.4</v>
      </c>
      <c r="P229" s="2">
        <f t="shared" si="43"/>
        <v>1313.9179487179488</v>
      </c>
      <c r="R229" s="10">
        <f t="shared" si="44"/>
        <v>10.433270625336634</v>
      </c>
      <c r="S229" s="10">
        <f t="shared" si="45"/>
        <v>12.428477756875113</v>
      </c>
      <c r="T229" s="10">
        <f t="shared" si="46"/>
        <v>11.380720803703154</v>
      </c>
      <c r="U229" s="10">
        <f t="shared" si="47"/>
        <v>11.180302403459608</v>
      </c>
      <c r="V229" s="10">
        <f t="shared" si="48"/>
        <v>11.446681289859258</v>
      </c>
      <c r="W229" s="10">
        <f t="shared" si="49"/>
        <v>9.9092945740669904</v>
      </c>
      <c r="X229" s="10">
        <f t="shared" si="50"/>
        <v>11.104194150202565</v>
      </c>
      <c r="Y229" s="10">
        <f t="shared" si="51"/>
        <v>11.926163285378626</v>
      </c>
      <c r="Z229" s="10">
        <f t="shared" si="52"/>
        <v>10.190895111118049</v>
      </c>
    </row>
    <row r="230" spans="1:26" hidden="1" x14ac:dyDescent="0.3">
      <c r="A230" s="6" t="s">
        <v>32</v>
      </c>
      <c r="B230" s="6">
        <v>2019</v>
      </c>
      <c r="C230" s="6" t="s">
        <v>40</v>
      </c>
      <c r="D230" s="21">
        <f t="shared" si="42"/>
        <v>43586</v>
      </c>
      <c r="E230" s="4">
        <f>AVERAGE(All_India_Index_Upto_April23__1___1[[#This Row],[Cereals and products]:[Food and beverages]])</f>
        <v>139.34615384615387</v>
      </c>
      <c r="F230" s="5">
        <f>AVERAGE(All_India_Index_Upto_April23__1___1[[#This Row],[Pan, tobacco and intoxicants]])</f>
        <v>166.2</v>
      </c>
      <c r="G230" s="4">
        <f>AVERAGE(All_India_Index_Upto_April23__1___1[[#This Row],[Clothing]:[Clothing and footwear]])</f>
        <v>139.29999999999998</v>
      </c>
      <c r="H230" s="5">
        <f>AVERAGE(All_India_Index_Upto_April23__1___1[[#This Row],[Housing]:[Fuel and light]])</f>
        <v>129.4</v>
      </c>
      <c r="I230" s="5">
        <f>AVERAGE(All_India_Index_Upto_April23__1___1[[#This Row],[Household goods and services]:[Health]])</f>
        <v>138.5</v>
      </c>
      <c r="J230" s="5">
        <f>AVERAGE(All_India_Index_Upto_April23__1___1[[#This Row],[Transport and communication]])</f>
        <v>120.1</v>
      </c>
      <c r="K230" s="5">
        <f>AVERAGE(All_India_Index_Upto_April23__1___1[[#This Row],[Recreation and amusement]])</f>
        <v>134</v>
      </c>
      <c r="L230" s="5">
        <f>AVERAGE(All_India_Index_Upto_April23__1___1[[#This Row],[Education]])</f>
        <v>148</v>
      </c>
      <c r="M230" s="5">
        <f>AVERAGE(All_India_Index_Upto_April23__1___1[[#This Row],[Personal care and effects]])</f>
        <v>132.6</v>
      </c>
      <c r="N230" s="5">
        <f>AVERAGE(All_India_Index_Upto_April23__1___1[[#This Row],[Miscellaneous]])</f>
        <v>133.30000000000001</v>
      </c>
      <c r="O230" s="5">
        <f>AVERAGE(All_India_Index_Upto_April23__1___1[[#This Row],[General index]])</f>
        <v>141.5</v>
      </c>
      <c r="P230" s="2">
        <f t="shared" si="43"/>
        <v>1247.4461538461537</v>
      </c>
      <c r="R230" s="10">
        <f t="shared" si="44"/>
        <v>11.170514528143656</v>
      </c>
      <c r="S230" s="10">
        <f t="shared" si="45"/>
        <v>13.323220364066893</v>
      </c>
      <c r="T230" s="10">
        <f t="shared" si="46"/>
        <v>11.166814661338858</v>
      </c>
      <c r="U230" s="10">
        <f t="shared" si="47"/>
        <v>10.373193231710326</v>
      </c>
      <c r="V230" s="10">
        <f t="shared" si="48"/>
        <v>11.102683636722412</v>
      </c>
      <c r="W230" s="10">
        <f t="shared" si="49"/>
        <v>9.6276700705441289</v>
      </c>
      <c r="X230" s="10">
        <f t="shared" si="50"/>
        <v>10.741946623254897</v>
      </c>
      <c r="Y230" s="10">
        <f t="shared" si="51"/>
        <v>11.864239554042722</v>
      </c>
      <c r="Z230" s="10">
        <f t="shared" si="52"/>
        <v>10.629717330176113</v>
      </c>
    </row>
    <row r="231" spans="1:26" hidden="1" x14ac:dyDescent="0.3">
      <c r="A231" s="5" t="s">
        <v>34</v>
      </c>
      <c r="B231" s="5">
        <v>2019</v>
      </c>
      <c r="C231" s="5" t="s">
        <v>40</v>
      </c>
      <c r="D231" s="21">
        <f t="shared" si="42"/>
        <v>43586</v>
      </c>
      <c r="E231" s="4">
        <f>AVERAGE(All_India_Index_Upto_April23__1___1[[#This Row],[Cereals and products]:[Food and beverages]])</f>
        <v>137.83846153846156</v>
      </c>
      <c r="F231" s="5">
        <f>AVERAGE(All_India_Index_Upto_April23__1___1[[#This Row],[Pan, tobacco and intoxicants]])</f>
        <v>164.1</v>
      </c>
      <c r="G231" s="4">
        <f>AVERAGE(All_India_Index_Upto_April23__1___1[[#This Row],[Clothing]:[Clothing and footwear]])</f>
        <v>145.36666666666667</v>
      </c>
      <c r="H231" s="5">
        <f>AVERAGE(All_India_Index_Upto_April23__1___1[[#This Row],[Housing]:[Fuel and light]])</f>
        <v>140.30000000000001</v>
      </c>
      <c r="I231" s="5">
        <f>AVERAGE(All_India_Index_Upto_April23__1___1[[#This Row],[Household goods and services]:[Health]])</f>
        <v>145.30000000000001</v>
      </c>
      <c r="J231" s="5">
        <f>AVERAGE(All_India_Index_Upto_April23__1___1[[#This Row],[Transport and communication]])</f>
        <v>124.9</v>
      </c>
      <c r="K231" s="5">
        <f>AVERAGE(All_India_Index_Upto_April23__1___1[[#This Row],[Recreation and amusement]])</f>
        <v>139.19999999999999</v>
      </c>
      <c r="L231" s="5">
        <f>AVERAGE(All_India_Index_Upto_April23__1___1[[#This Row],[Education]])</f>
        <v>151.6</v>
      </c>
      <c r="M231" s="5">
        <f>AVERAGE(All_India_Index_Upto_April23__1___1[[#This Row],[Personal care and effects]])</f>
        <v>133.4</v>
      </c>
      <c r="N231" s="5">
        <f>AVERAGE(All_India_Index_Upto_April23__1___1[[#This Row],[Miscellaneous]])</f>
        <v>138.19999999999999</v>
      </c>
      <c r="O231" s="5">
        <f>AVERAGE(All_India_Index_Upto_April23__1___1[[#This Row],[General index]])</f>
        <v>142</v>
      </c>
      <c r="P231" s="2">
        <f>AVERAGE(E231:N231)</f>
        <v>142.02051282051281</v>
      </c>
      <c r="R231" s="10">
        <f t="shared" si="44"/>
        <v>97.055318841626374</v>
      </c>
      <c r="S231" s="10">
        <f t="shared" si="45"/>
        <v>115.54668881346142</v>
      </c>
      <c r="T231" s="10">
        <f t="shared" si="46"/>
        <v>102.35610601574349</v>
      </c>
      <c r="U231" s="10">
        <f t="shared" si="47"/>
        <v>98.788546255506631</v>
      </c>
      <c r="V231" s="10">
        <f t="shared" si="48"/>
        <v>102.30916443995091</v>
      </c>
      <c r="W231" s="10">
        <f t="shared" si="49"/>
        <v>87.945042247418229</v>
      </c>
      <c r="X231" s="10">
        <f t="shared" si="50"/>
        <v>98.014010254928863</v>
      </c>
      <c r="Y231" s="10">
        <f t="shared" si="51"/>
        <v>106.74514335235071</v>
      </c>
      <c r="Z231" s="10">
        <f t="shared" si="52"/>
        <v>93.930093160973499</v>
      </c>
    </row>
    <row r="232" spans="1:26" hidden="1" x14ac:dyDescent="0.3">
      <c r="A232" s="6" t="s">
        <v>30</v>
      </c>
      <c r="B232" s="6">
        <v>2019</v>
      </c>
      <c r="C232" s="6" t="s">
        <v>41</v>
      </c>
      <c r="D232" s="21">
        <f t="shared" si="42"/>
        <v>43617</v>
      </c>
      <c r="E232" s="4">
        <f>AVERAGE(All_India_Index_Upto_April23__1___1[[#This Row],[Cereals and products]:[Food and beverages]])</f>
        <v>138.78461538461536</v>
      </c>
      <c r="F232" s="5">
        <f>AVERAGE(All_India_Index_Upto_April23__1___1[[#This Row],[Pan, tobacco and intoxicants]])</f>
        <v>164.2</v>
      </c>
      <c r="G232" s="4">
        <f>AVERAGE(All_India_Index_Upto_April23__1___1[[#This Row],[Clothing]:[Clothing and footwear]])</f>
        <v>149.53333333333333</v>
      </c>
      <c r="H232" s="5">
        <f>AVERAGE(All_India_Index_Upto_April23__1___1[[#This Row],[Housing]:[Fuel and light]])</f>
        <v>147.80000000000001</v>
      </c>
      <c r="I232" s="5">
        <f>AVERAGE(All_India_Index_Upto_April23__1___1[[#This Row],[Household goods and services]:[Health]])</f>
        <v>150.64999999999998</v>
      </c>
      <c r="J232" s="5">
        <f>AVERAGE(All_India_Index_Upto_April23__1___1[[#This Row],[Transport and communication]])</f>
        <v>130.19999999999999</v>
      </c>
      <c r="K232" s="5">
        <f>AVERAGE(All_India_Index_Upto_April23__1___1[[#This Row],[Recreation and amusement]])</f>
        <v>146.4</v>
      </c>
      <c r="L232" s="5">
        <f>AVERAGE(All_India_Index_Upto_April23__1___1[[#This Row],[Education]])</f>
        <v>157.69999999999999</v>
      </c>
      <c r="M232" s="5">
        <f>AVERAGE(All_India_Index_Upto_April23__1___1[[#This Row],[Personal care and effects]])</f>
        <v>134.80000000000001</v>
      </c>
      <c r="N232" s="5">
        <f>AVERAGE(All_India_Index_Upto_April23__1___1[[#This Row],[Miscellaneous]])</f>
        <v>143.30000000000001</v>
      </c>
      <c r="O232" s="5">
        <f>AVERAGE(All_India_Index_Upto_April23__1___1[[#This Row],[General index]])</f>
        <v>143.6</v>
      </c>
      <c r="P232" s="2">
        <f t="shared" si="43"/>
        <v>1320.0679487179486</v>
      </c>
      <c r="R232" s="10">
        <f t="shared" si="44"/>
        <v>10.513444820730866</v>
      </c>
      <c r="S232" s="10">
        <f t="shared" si="45"/>
        <v>12.438753638361662</v>
      </c>
      <c r="T232" s="10">
        <f t="shared" si="46"/>
        <v>11.327699720196998</v>
      </c>
      <c r="U232" s="10">
        <f t="shared" si="47"/>
        <v>11.196393348050266</v>
      </c>
      <c r="V232" s="10">
        <f t="shared" si="48"/>
        <v>11.412291325329988</v>
      </c>
      <c r="W232" s="10">
        <f t="shared" si="49"/>
        <v>9.8631286462526688</v>
      </c>
      <c r="X232" s="10">
        <f t="shared" si="50"/>
        <v>11.090338201316367</v>
      </c>
      <c r="Y232" s="10">
        <f t="shared" si="51"/>
        <v>11.946354742811414</v>
      </c>
      <c r="Z232" s="10">
        <f t="shared" si="52"/>
        <v>10.211595556949769</v>
      </c>
    </row>
    <row r="233" spans="1:26" hidden="1" x14ac:dyDescent="0.3">
      <c r="A233" s="5" t="s">
        <v>32</v>
      </c>
      <c r="B233" s="5">
        <v>2019</v>
      </c>
      <c r="C233" s="5" t="s">
        <v>41</v>
      </c>
      <c r="D233" s="21">
        <f t="shared" si="42"/>
        <v>43617</v>
      </c>
      <c r="E233" s="4">
        <f>AVERAGE(All_India_Index_Upto_April23__1___1[[#This Row],[Cereals and products]:[Food and beverages]])</f>
        <v>141.0230769230769</v>
      </c>
      <c r="F233" s="5">
        <f>AVERAGE(All_India_Index_Upto_April23__1___1[[#This Row],[Pan, tobacco and intoxicants]])</f>
        <v>166.7</v>
      </c>
      <c r="G233" s="4">
        <f>AVERAGE(All_India_Index_Upto_April23__1___1[[#This Row],[Clothing]:[Clothing and footwear]])</f>
        <v>139.46666666666667</v>
      </c>
      <c r="H233" s="5">
        <f>AVERAGE(All_India_Index_Upto_April23__1___1[[#This Row],[Housing]:[Fuel and light]])</f>
        <v>130.5</v>
      </c>
      <c r="I233" s="5">
        <f>AVERAGE(All_India_Index_Upto_April23__1___1[[#This Row],[Household goods and services]:[Health]])</f>
        <v>138.85000000000002</v>
      </c>
      <c r="J233" s="5">
        <f>AVERAGE(All_India_Index_Upto_April23__1___1[[#This Row],[Transport and communication]])</f>
        <v>119.6</v>
      </c>
      <c r="K233" s="5">
        <f>AVERAGE(All_India_Index_Upto_April23__1___1[[#This Row],[Recreation and amusement]])</f>
        <v>134.30000000000001</v>
      </c>
      <c r="L233" s="5">
        <f>AVERAGE(All_India_Index_Upto_April23__1___1[[#This Row],[Education]])</f>
        <v>148.9</v>
      </c>
      <c r="M233" s="5">
        <f>AVERAGE(All_India_Index_Upto_April23__1___1[[#This Row],[Personal care and effects]])</f>
        <v>133.69999999999999</v>
      </c>
      <c r="N233" s="5">
        <f>AVERAGE(All_India_Index_Upto_April23__1___1[[#This Row],[Miscellaneous]])</f>
        <v>133.6</v>
      </c>
      <c r="O233" s="5">
        <f>AVERAGE(All_India_Index_Upto_April23__1___1[[#This Row],[General index]])</f>
        <v>142.1</v>
      </c>
      <c r="P233" s="2">
        <f t="shared" si="43"/>
        <v>1253.0397435897437</v>
      </c>
      <c r="R233" s="10">
        <f t="shared" si="44"/>
        <v>11.2544775729994</v>
      </c>
      <c r="S233" s="10">
        <f t="shared" si="45"/>
        <v>13.303648256393934</v>
      </c>
      <c r="T233" s="10">
        <f t="shared" si="46"/>
        <v>11.130266807588928</v>
      </c>
      <c r="U233" s="10">
        <f t="shared" si="47"/>
        <v>10.414673650026447</v>
      </c>
      <c r="V233" s="10">
        <f t="shared" si="48"/>
        <v>11.081053151771435</v>
      </c>
      <c r="W233" s="10">
        <f t="shared" si="49"/>
        <v>9.5447890309820931</v>
      </c>
      <c r="X233" s="10">
        <f t="shared" si="50"/>
        <v>10.717936177766681</v>
      </c>
      <c r="Y233" s="10">
        <f t="shared" si="51"/>
        <v>11.883102731716001</v>
      </c>
      <c r="Z233" s="10">
        <f t="shared" si="52"/>
        <v>10.670052620755065</v>
      </c>
    </row>
    <row r="234" spans="1:26" hidden="1" x14ac:dyDescent="0.3">
      <c r="A234" s="6" t="s">
        <v>34</v>
      </c>
      <c r="B234" s="6">
        <v>2019</v>
      </c>
      <c r="C234" s="6" t="s">
        <v>41</v>
      </c>
      <c r="D234" s="21">
        <f t="shared" si="42"/>
        <v>43617</v>
      </c>
      <c r="E234" s="4">
        <f>AVERAGE(All_India_Index_Upto_April23__1___1[[#This Row],[Cereals and products]:[Food and beverages]])</f>
        <v>139.54615384615386</v>
      </c>
      <c r="F234" s="5">
        <f>AVERAGE(All_India_Index_Upto_April23__1___1[[#This Row],[Pan, tobacco and intoxicants]])</f>
        <v>164.9</v>
      </c>
      <c r="G234" s="4">
        <f>AVERAGE(All_India_Index_Upto_April23__1___1[[#This Row],[Clothing]:[Clothing and footwear]])</f>
        <v>145.46666666666667</v>
      </c>
      <c r="H234" s="5">
        <f>AVERAGE(All_India_Index_Upto_April23__1___1[[#This Row],[Housing]:[Fuel and light]])</f>
        <v>141.19999999999999</v>
      </c>
      <c r="I234" s="5">
        <f>AVERAGE(All_India_Index_Upto_April23__1___1[[#This Row],[Household goods and services]:[Health]])</f>
        <v>145.60000000000002</v>
      </c>
      <c r="J234" s="5">
        <f>AVERAGE(All_India_Index_Upto_April23__1___1[[#This Row],[Transport and communication]])</f>
        <v>124.6</v>
      </c>
      <c r="K234" s="5">
        <f>AVERAGE(All_India_Index_Upto_April23__1___1[[#This Row],[Recreation and amusement]])</f>
        <v>139.6</v>
      </c>
      <c r="L234" s="5">
        <f>AVERAGE(All_India_Index_Upto_April23__1___1[[#This Row],[Education]])</f>
        <v>152.5</v>
      </c>
      <c r="M234" s="5">
        <f>AVERAGE(All_India_Index_Upto_April23__1___1[[#This Row],[Personal care and effects]])</f>
        <v>134.30000000000001</v>
      </c>
      <c r="N234" s="5">
        <f>AVERAGE(All_India_Index_Upto_April23__1___1[[#This Row],[Miscellaneous]])</f>
        <v>138.6</v>
      </c>
      <c r="O234" s="5">
        <f>AVERAGE(All_India_Index_Upto_April23__1___1[[#This Row],[General index]])</f>
        <v>142.9</v>
      </c>
      <c r="P234" s="2">
        <f>AVERAGE(E234:N234)</f>
        <v>142.63128205128203</v>
      </c>
      <c r="R234" s="10">
        <f t="shared" si="44"/>
        <v>97.836990482901967</v>
      </c>
      <c r="S234" s="10">
        <f t="shared" si="45"/>
        <v>115.61278678033015</v>
      </c>
      <c r="T234" s="10">
        <f t="shared" si="46"/>
        <v>101.98791217088352</v>
      </c>
      <c r="U234" s="10">
        <f t="shared" si="47"/>
        <v>98.996516030215986</v>
      </c>
      <c r="V234" s="10">
        <f t="shared" si="48"/>
        <v>102.08139330027939</v>
      </c>
      <c r="W234" s="10">
        <f t="shared" si="49"/>
        <v>87.358115420431389</v>
      </c>
      <c r="X234" s="10">
        <f t="shared" si="50"/>
        <v>97.874742477465674</v>
      </c>
      <c r="Y234" s="10">
        <f t="shared" si="51"/>
        <v>106.91904174651515</v>
      </c>
      <c r="Z234" s="10">
        <f t="shared" si="52"/>
        <v>94.158867583980239</v>
      </c>
    </row>
    <row r="235" spans="1:26" hidden="1" x14ac:dyDescent="0.3">
      <c r="A235" s="5" t="s">
        <v>30</v>
      </c>
      <c r="B235" s="5">
        <v>2019</v>
      </c>
      <c r="C235" s="5" t="s">
        <v>43</v>
      </c>
      <c r="D235" s="21">
        <f t="shared" si="42"/>
        <v>43647</v>
      </c>
      <c r="E235" s="4">
        <f>AVERAGE(All_India_Index_Upto_April23__1___1[[#This Row],[Cereals and products]:[Food and beverages]])</f>
        <v>140.53076923076921</v>
      </c>
      <c r="F235" s="5">
        <f>AVERAGE(All_India_Index_Upto_April23__1___1[[#This Row],[Pan, tobacco and intoxicants]])</f>
        <v>164.5</v>
      </c>
      <c r="G235" s="4">
        <f>AVERAGE(All_India_Index_Upto_April23__1___1[[#This Row],[Clothing]:[Clothing and footwear]])</f>
        <v>149.70000000000002</v>
      </c>
      <c r="H235" s="5">
        <f>AVERAGE(All_India_Index_Upto_April23__1___1[[#This Row],[Housing]:[Fuel and light]])</f>
        <v>146.80000000000001</v>
      </c>
      <c r="I235" s="5">
        <f>AVERAGE(All_India_Index_Upto_April23__1___1[[#This Row],[Household goods and services]:[Health]])</f>
        <v>151.1</v>
      </c>
      <c r="J235" s="5">
        <f>AVERAGE(All_India_Index_Upto_April23__1___1[[#This Row],[Transport and communication]])</f>
        <v>131.19999999999999</v>
      </c>
      <c r="K235" s="5">
        <f>AVERAGE(All_India_Index_Upto_April23__1___1[[#This Row],[Recreation and amusement]])</f>
        <v>147.5</v>
      </c>
      <c r="L235" s="5">
        <f>AVERAGE(All_India_Index_Upto_April23__1___1[[#This Row],[Education]])</f>
        <v>159.1</v>
      </c>
      <c r="M235" s="5">
        <f>AVERAGE(All_India_Index_Upto_April23__1___1[[#This Row],[Personal care and effects]])</f>
        <v>136.1</v>
      </c>
      <c r="N235" s="5">
        <f>AVERAGE(All_India_Index_Upto_April23__1___1[[#This Row],[Miscellaneous]])</f>
        <v>144.19999999999999</v>
      </c>
      <c r="O235" s="5">
        <f>AVERAGE(All_India_Index_Upto_April23__1___1[[#This Row],[General index]])</f>
        <v>144.9</v>
      </c>
      <c r="P235" s="2">
        <f t="shared" si="43"/>
        <v>1326.530769230769</v>
      </c>
      <c r="R235" s="10">
        <f t="shared" si="44"/>
        <v>10.593856734454825</v>
      </c>
      <c r="S235" s="10">
        <f t="shared" si="45"/>
        <v>12.400767763222751</v>
      </c>
      <c r="T235" s="10">
        <f t="shared" si="46"/>
        <v>11.285075587565023</v>
      </c>
      <c r="U235" s="10">
        <f t="shared" si="47"/>
        <v>11.066460228821278</v>
      </c>
      <c r="V235" s="10">
        <f t="shared" si="48"/>
        <v>11.390614036613725</v>
      </c>
      <c r="W235" s="10">
        <f t="shared" si="49"/>
        <v>9.8904603679928567</v>
      </c>
      <c r="X235" s="10">
        <f t="shared" si="50"/>
        <v>11.119229453345628</v>
      </c>
      <c r="Y235" s="10">
        <f t="shared" si="51"/>
        <v>11.993690888320605</v>
      </c>
      <c r="Z235" s="10">
        <f t="shared" si="52"/>
        <v>10.259844939663322</v>
      </c>
    </row>
    <row r="236" spans="1:26" hidden="1" x14ac:dyDescent="0.3">
      <c r="A236" s="6" t="s">
        <v>32</v>
      </c>
      <c r="B236" s="6">
        <v>2019</v>
      </c>
      <c r="C236" s="6" t="s">
        <v>43</v>
      </c>
      <c r="D236" s="21">
        <f t="shared" si="42"/>
        <v>43647</v>
      </c>
      <c r="E236" s="4">
        <f>AVERAGE(All_India_Index_Upto_April23__1___1[[#This Row],[Cereals and products]:[Food and beverages]])</f>
        <v>142.87692307692308</v>
      </c>
      <c r="F236" s="5">
        <f>AVERAGE(All_India_Index_Upto_April23__1___1[[#This Row],[Pan, tobacco and intoxicants]])</f>
        <v>167.2</v>
      </c>
      <c r="G236" s="4">
        <f>AVERAGE(All_India_Index_Upto_April23__1___1[[#This Row],[Clothing]:[Clothing and footwear]])</f>
        <v>139.76666666666668</v>
      </c>
      <c r="H236" s="5">
        <f>AVERAGE(All_India_Index_Upto_April23__1___1[[#This Row],[Housing]:[Fuel and light]])</f>
        <v>127</v>
      </c>
      <c r="I236" s="5">
        <f>AVERAGE(All_India_Index_Upto_April23__1___1[[#This Row],[Household goods and services]:[Health]])</f>
        <v>139.25</v>
      </c>
      <c r="J236" s="5">
        <f>AVERAGE(All_India_Index_Upto_April23__1___1[[#This Row],[Transport and communication]])</f>
        <v>120.6</v>
      </c>
      <c r="K236" s="5">
        <f>AVERAGE(All_India_Index_Upto_April23__1___1[[#This Row],[Recreation and amusement]])</f>
        <v>135</v>
      </c>
      <c r="L236" s="5">
        <f>AVERAGE(All_India_Index_Upto_April23__1___1[[#This Row],[Education]])</f>
        <v>150.4</v>
      </c>
      <c r="M236" s="5">
        <f>AVERAGE(All_India_Index_Upto_April23__1___1[[#This Row],[Personal care and effects]])</f>
        <v>135.1</v>
      </c>
      <c r="N236" s="5">
        <f>AVERAGE(All_India_Index_Upto_April23__1___1[[#This Row],[Miscellaneous]])</f>
        <v>134.5</v>
      </c>
      <c r="O236" s="5">
        <f>AVERAGE(All_India_Index_Upto_April23__1___1[[#This Row],[General index]])</f>
        <v>143.30000000000001</v>
      </c>
      <c r="P236" s="2">
        <f t="shared" si="43"/>
        <v>1257.1935897435897</v>
      </c>
      <c r="R236" s="10">
        <f t="shared" si="44"/>
        <v>11.36475116024601</v>
      </c>
      <c r="S236" s="10">
        <f t="shared" si="45"/>
        <v>13.299463293803557</v>
      </c>
      <c r="T236" s="10">
        <f t="shared" si="46"/>
        <v>11.117354384154371</v>
      </c>
      <c r="U236" s="10">
        <f t="shared" si="47"/>
        <v>10.101865061680932</v>
      </c>
      <c r="V236" s="10">
        <f t="shared" si="48"/>
        <v>11.076257557787951</v>
      </c>
      <c r="W236" s="10">
        <f t="shared" si="49"/>
        <v>9.5927946963678767</v>
      </c>
      <c r="X236" s="10">
        <f t="shared" si="50"/>
        <v>10.738203018322251</v>
      </c>
      <c r="Y236" s="10">
        <f t="shared" si="51"/>
        <v>11.963153584856789</v>
      </c>
      <c r="Z236" s="10">
        <f t="shared" si="52"/>
        <v>10.746157242780267</v>
      </c>
    </row>
    <row r="237" spans="1:26" hidden="1" x14ac:dyDescent="0.3">
      <c r="A237" s="5" t="s">
        <v>34</v>
      </c>
      <c r="B237" s="5">
        <v>2019</v>
      </c>
      <c r="C237" s="5" t="s">
        <v>43</v>
      </c>
      <c r="D237" s="21">
        <f t="shared" si="42"/>
        <v>43647</v>
      </c>
      <c r="E237" s="4">
        <f>AVERAGE(All_India_Index_Upto_April23__1___1[[#This Row],[Cereals and products]:[Food and beverages]])</f>
        <v>141.34615384615384</v>
      </c>
      <c r="F237" s="5">
        <f>AVERAGE(All_India_Index_Upto_April23__1___1[[#This Row],[Pan, tobacco and intoxicants]])</f>
        <v>165.2</v>
      </c>
      <c r="G237" s="4">
        <f>AVERAGE(All_India_Index_Upto_April23__1___1[[#This Row],[Clothing]:[Clothing and footwear]])</f>
        <v>145.66666666666666</v>
      </c>
      <c r="H237" s="5">
        <f>AVERAGE(All_India_Index_Upto_April23__1___1[[#This Row],[Housing]:[Fuel and light]])</f>
        <v>139.30000000000001</v>
      </c>
      <c r="I237" s="5">
        <f>AVERAGE(All_India_Index_Upto_April23__1___1[[#This Row],[Household goods and services]:[Health]])</f>
        <v>146.05000000000001</v>
      </c>
      <c r="J237" s="5">
        <f>AVERAGE(All_India_Index_Upto_April23__1___1[[#This Row],[Transport and communication]])</f>
        <v>125.6</v>
      </c>
      <c r="K237" s="5">
        <f>AVERAGE(All_India_Index_Upto_April23__1___1[[#This Row],[Recreation and amusement]])</f>
        <v>140.5</v>
      </c>
      <c r="L237" s="5">
        <f>AVERAGE(All_India_Index_Upto_April23__1___1[[#This Row],[Education]])</f>
        <v>154</v>
      </c>
      <c r="M237" s="5">
        <f>AVERAGE(All_India_Index_Upto_April23__1___1[[#This Row],[Personal care and effects]])</f>
        <v>135.69999999999999</v>
      </c>
      <c r="N237" s="5">
        <f>AVERAGE(All_India_Index_Upto_April23__1___1[[#This Row],[Miscellaneous]])</f>
        <v>139.5</v>
      </c>
      <c r="O237" s="5">
        <f>AVERAGE(All_India_Index_Upto_April23__1___1[[#This Row],[General index]])</f>
        <v>144.19999999999999</v>
      </c>
      <c r="P237" s="2">
        <f>AVERAGE(E237:N237)</f>
        <v>143.28628205128206</v>
      </c>
      <c r="R237" s="10">
        <f t="shared" si="44"/>
        <v>98.645977704666905</v>
      </c>
      <c r="S237" s="10">
        <f t="shared" si="45"/>
        <v>115.29366079920689</v>
      </c>
      <c r="T237" s="10">
        <f t="shared" si="46"/>
        <v>101.66127879187532</v>
      </c>
      <c r="U237" s="10">
        <f t="shared" si="47"/>
        <v>97.217959741704121</v>
      </c>
      <c r="V237" s="10">
        <f t="shared" si="48"/>
        <v>101.92880847290657</v>
      </c>
      <c r="W237" s="10">
        <f t="shared" si="49"/>
        <v>87.656681576152451</v>
      </c>
      <c r="X237" s="10">
        <f t="shared" si="50"/>
        <v>98.055443960584554</v>
      </c>
      <c r="Y237" s="10">
        <f t="shared" si="51"/>
        <v>107.47714142298948</v>
      </c>
      <c r="Z237" s="10">
        <f t="shared" si="52"/>
        <v>94.705507085062791</v>
      </c>
    </row>
    <row r="238" spans="1:26" hidden="1" x14ac:dyDescent="0.3">
      <c r="A238" s="6" t="s">
        <v>30</v>
      </c>
      <c r="B238" s="6">
        <v>2019</v>
      </c>
      <c r="C238" s="6" t="s">
        <v>45</v>
      </c>
      <c r="D238" s="21">
        <f t="shared" si="42"/>
        <v>43678</v>
      </c>
      <c r="E238" s="4">
        <f>AVERAGE(All_India_Index_Upto_April23__1___1[[#This Row],[Cereals and products]:[Food and beverages]])</f>
        <v>141.11538461538464</v>
      </c>
      <c r="F238" s="5">
        <f>AVERAGE(All_India_Index_Upto_April23__1___1[[#This Row],[Pan, tobacco and intoxicants]])</f>
        <v>165.1</v>
      </c>
      <c r="G238" s="4">
        <f>AVERAGE(All_India_Index_Upto_April23__1___1[[#This Row],[Clothing]:[Clothing and footwear]])</f>
        <v>149.83333333333334</v>
      </c>
      <c r="H238" s="5">
        <f>AVERAGE(All_India_Index_Upto_April23__1___1[[#This Row],[Housing]:[Fuel and light]])</f>
        <v>146.4</v>
      </c>
      <c r="I238" s="5">
        <f>AVERAGE(All_India_Index_Upto_April23__1___1[[#This Row],[Household goods and services]:[Health]])</f>
        <v>151.44999999999999</v>
      </c>
      <c r="J238" s="5">
        <f>AVERAGE(All_India_Index_Upto_April23__1___1[[#This Row],[Transport and communication]])</f>
        <v>131.4</v>
      </c>
      <c r="K238" s="5">
        <f>AVERAGE(All_India_Index_Upto_April23__1___1[[#This Row],[Recreation and amusement]])</f>
        <v>148</v>
      </c>
      <c r="L238" s="5">
        <f>AVERAGE(All_India_Index_Upto_April23__1___1[[#This Row],[Education]])</f>
        <v>159.69999999999999</v>
      </c>
      <c r="M238" s="5">
        <f>AVERAGE(All_India_Index_Upto_April23__1___1[[#This Row],[Personal care and effects]])</f>
        <v>138.80000000000001</v>
      </c>
      <c r="N238" s="5">
        <f>AVERAGE(All_India_Index_Upto_April23__1___1[[#This Row],[Miscellaneous]])</f>
        <v>144.9</v>
      </c>
      <c r="O238" s="5">
        <f>AVERAGE(All_India_Index_Upto_April23__1___1[[#This Row],[General index]])</f>
        <v>145.69999999999999</v>
      </c>
      <c r="P238" s="2">
        <f t="shared" si="43"/>
        <v>1331.7987179487181</v>
      </c>
      <c r="R238" s="10">
        <f t="shared" si="44"/>
        <v>10.595849261120732</v>
      </c>
      <c r="S238" s="10">
        <f t="shared" si="45"/>
        <v>12.396768203403338</v>
      </c>
      <c r="T238" s="10">
        <f t="shared" si="46"/>
        <v>11.250448833898245</v>
      </c>
      <c r="U238" s="10">
        <f t="shared" si="47"/>
        <v>10.99265211979557</v>
      </c>
      <c r="V238" s="10">
        <f t="shared" si="48"/>
        <v>11.371838548791251</v>
      </c>
      <c r="W238" s="10">
        <f t="shared" si="49"/>
        <v>9.866355796046026</v>
      </c>
      <c r="X238" s="10">
        <f t="shared" si="50"/>
        <v>11.112790394328856</v>
      </c>
      <c r="Y238" s="10">
        <f t="shared" si="51"/>
        <v>11.991301526853501</v>
      </c>
      <c r="Z238" s="10">
        <f t="shared" si="52"/>
        <v>10.421995315762468</v>
      </c>
    </row>
    <row r="239" spans="1:26" hidden="1" x14ac:dyDescent="0.3">
      <c r="A239" s="5" t="s">
        <v>32</v>
      </c>
      <c r="B239" s="5">
        <v>2019</v>
      </c>
      <c r="C239" s="5" t="s">
        <v>45</v>
      </c>
      <c r="D239" s="21">
        <f t="shared" si="42"/>
        <v>43678</v>
      </c>
      <c r="E239" s="4">
        <f>AVERAGE(All_India_Index_Upto_April23__1___1[[#This Row],[Cereals and products]:[Food and beverages]])</f>
        <v>143.77692307692308</v>
      </c>
      <c r="F239" s="5">
        <f>AVERAGE(All_India_Index_Upto_April23__1___1[[#This Row],[Pan, tobacco and intoxicants]])</f>
        <v>167.9</v>
      </c>
      <c r="G239" s="4">
        <f>AVERAGE(All_India_Index_Upto_April23__1___1[[#This Row],[Clothing]:[Clothing and footwear]])</f>
        <v>140.06666666666666</v>
      </c>
      <c r="H239" s="5">
        <f>AVERAGE(All_India_Index_Upto_April23__1___1[[#This Row],[Housing]:[Fuel and light]])</f>
        <v>125.5</v>
      </c>
      <c r="I239" s="5">
        <f>AVERAGE(All_India_Index_Upto_April23__1___1[[#This Row],[Household goods and services]:[Health]])</f>
        <v>139.80000000000001</v>
      </c>
      <c r="J239" s="5">
        <f>AVERAGE(All_India_Index_Upto_April23__1___1[[#This Row],[Transport and communication]])</f>
        <v>120.8</v>
      </c>
      <c r="K239" s="5">
        <f>AVERAGE(All_India_Index_Upto_April23__1___1[[#This Row],[Recreation and amusement]])</f>
        <v>135.4</v>
      </c>
      <c r="L239" s="5">
        <f>AVERAGE(All_India_Index_Upto_April23__1___1[[#This Row],[Education]])</f>
        <v>151.5</v>
      </c>
      <c r="M239" s="5">
        <f>AVERAGE(All_India_Index_Upto_April23__1___1[[#This Row],[Personal care and effects]])</f>
        <v>137.80000000000001</v>
      </c>
      <c r="N239" s="5">
        <f>AVERAGE(All_India_Index_Upto_April23__1___1[[#This Row],[Miscellaneous]])</f>
        <v>135.30000000000001</v>
      </c>
      <c r="O239" s="5">
        <f>AVERAGE(All_India_Index_Upto_April23__1___1[[#This Row],[General index]])</f>
        <v>144.19999999999999</v>
      </c>
      <c r="P239" s="2">
        <f t="shared" si="43"/>
        <v>1262.5435897435898</v>
      </c>
      <c r="R239" s="10">
        <f t="shared" si="44"/>
        <v>11.387877950900908</v>
      </c>
      <c r="S239" s="10">
        <f t="shared" si="45"/>
        <v>13.298550748184374</v>
      </c>
      <c r="T239" s="10">
        <f t="shared" si="46"/>
        <v>11.09400640140376</v>
      </c>
      <c r="U239" s="10">
        <f t="shared" si="47"/>
        <v>9.9402508570407324</v>
      </c>
      <c r="V239" s="10">
        <f t="shared" si="48"/>
        <v>11.072885018440592</v>
      </c>
      <c r="W239" s="10">
        <f t="shared" si="49"/>
        <v>9.5679864823149021</v>
      </c>
      <c r="X239" s="10">
        <f t="shared" si="50"/>
        <v>10.724382199548327</v>
      </c>
      <c r="Y239" s="10">
        <f t="shared" si="51"/>
        <v>11.999585695949568</v>
      </c>
      <c r="Z239" s="10">
        <f t="shared" si="52"/>
        <v>10.914474646216837</v>
      </c>
    </row>
    <row r="240" spans="1:26" hidden="1" x14ac:dyDescent="0.3">
      <c r="A240" s="6" t="s">
        <v>34</v>
      </c>
      <c r="B240" s="6">
        <v>2019</v>
      </c>
      <c r="C240" s="6" t="s">
        <v>45</v>
      </c>
      <c r="D240" s="21">
        <f t="shared" si="42"/>
        <v>43678</v>
      </c>
      <c r="E240" s="4">
        <f>AVERAGE(All_India_Index_Upto_April23__1___1[[#This Row],[Cereals and products]:[Food and beverages]])</f>
        <v>142.03846153846155</v>
      </c>
      <c r="F240" s="5">
        <f>AVERAGE(All_India_Index_Upto_April23__1___1[[#This Row],[Pan, tobacco and intoxicants]])</f>
        <v>165.8</v>
      </c>
      <c r="G240" s="4">
        <f>AVERAGE(All_India_Index_Upto_April23__1___1[[#This Row],[Clothing]:[Clothing and footwear]])</f>
        <v>145.86666666666667</v>
      </c>
      <c r="H240" s="5">
        <f>AVERAGE(All_India_Index_Upto_April23__1___1[[#This Row],[Housing]:[Fuel and light]])</f>
        <v>138.5</v>
      </c>
      <c r="I240" s="5">
        <f>AVERAGE(All_India_Index_Upto_April23__1___1[[#This Row],[Household goods and services]:[Health]])</f>
        <v>146.5</v>
      </c>
      <c r="J240" s="5">
        <f>AVERAGE(All_India_Index_Upto_April23__1___1[[#This Row],[Transport and communication]])</f>
        <v>125.8</v>
      </c>
      <c r="K240" s="5">
        <f>AVERAGE(All_India_Index_Upto_April23__1___1[[#This Row],[Recreation and amusement]])</f>
        <v>140.9</v>
      </c>
      <c r="L240" s="5">
        <f>AVERAGE(All_India_Index_Upto_April23__1___1[[#This Row],[Education]])</f>
        <v>154.9</v>
      </c>
      <c r="M240" s="5">
        <f>AVERAGE(All_India_Index_Upto_April23__1___1[[#This Row],[Personal care and effects]])</f>
        <v>138.4</v>
      </c>
      <c r="N240" s="5">
        <f>AVERAGE(All_India_Index_Upto_April23__1___1[[#This Row],[Miscellaneous]])</f>
        <v>140.19999999999999</v>
      </c>
      <c r="O240" s="5">
        <f>AVERAGE(All_India_Index_Upto_April23__1___1[[#This Row],[General index]])</f>
        <v>145</v>
      </c>
      <c r="P240" s="2">
        <f>AVERAGE(E240:N240)</f>
        <v>143.89051282051281</v>
      </c>
      <c r="R240" s="10">
        <f t="shared" si="44"/>
        <v>98.712874639371478</v>
      </c>
      <c r="S240" s="10">
        <f t="shared" si="45"/>
        <v>115.22649878023357</v>
      </c>
      <c r="T240" s="10">
        <f t="shared" si="46"/>
        <v>101.37337327348253</v>
      </c>
      <c r="U240" s="10">
        <f t="shared" si="47"/>
        <v>96.253739934031046</v>
      </c>
      <c r="V240" s="10">
        <f t="shared" si="48"/>
        <v>101.81352274610505</v>
      </c>
      <c r="W240" s="10">
        <f t="shared" si="49"/>
        <v>87.427584719863574</v>
      </c>
      <c r="X240" s="10">
        <f t="shared" si="50"/>
        <v>97.921674777653251</v>
      </c>
      <c r="Y240" s="10">
        <f t="shared" si="51"/>
        <v>107.65129469878273</v>
      </c>
      <c r="Z240" s="10">
        <f t="shared" si="52"/>
        <v>96.184242648880129</v>
      </c>
    </row>
    <row r="241" spans="1:26" hidden="1" x14ac:dyDescent="0.3">
      <c r="A241" s="5" t="s">
        <v>30</v>
      </c>
      <c r="B241" s="5">
        <v>2019</v>
      </c>
      <c r="C241" s="5" t="s">
        <v>47</v>
      </c>
      <c r="D241" s="21">
        <f t="shared" si="42"/>
        <v>43709</v>
      </c>
      <c r="E241" s="4">
        <f>AVERAGE(All_India_Index_Upto_April23__1___1[[#This Row],[Cereals and products]:[Food and beverages]])</f>
        <v>142.2076923076923</v>
      </c>
      <c r="F241" s="5">
        <f>AVERAGE(All_India_Index_Upto_April23__1___1[[#This Row],[Pan, tobacco and intoxicants]])</f>
        <v>165.7</v>
      </c>
      <c r="G241" s="4">
        <f>AVERAGE(All_India_Index_Upto_April23__1___1[[#This Row],[Clothing]:[Clothing and footwear]])</f>
        <v>149.76666666666665</v>
      </c>
      <c r="H241" s="5">
        <f>AVERAGE(All_India_Index_Upto_April23__1___1[[#This Row],[Housing]:[Fuel and light]])</f>
        <v>146.9</v>
      </c>
      <c r="I241" s="5">
        <f>AVERAGE(All_India_Index_Upto_April23__1___1[[#This Row],[Household goods and services]:[Health]])</f>
        <v>151.85000000000002</v>
      </c>
      <c r="J241" s="5">
        <f>AVERAGE(All_India_Index_Upto_April23__1___1[[#This Row],[Transport and communication]])</f>
        <v>131.6</v>
      </c>
      <c r="K241" s="5">
        <f>AVERAGE(All_India_Index_Upto_April23__1___1[[#This Row],[Recreation and amusement]])</f>
        <v>148.30000000000001</v>
      </c>
      <c r="L241" s="5">
        <f>AVERAGE(All_India_Index_Upto_April23__1___1[[#This Row],[Education]])</f>
        <v>160.19999999999999</v>
      </c>
      <c r="M241" s="5">
        <f>AVERAGE(All_India_Index_Upto_April23__1___1[[#This Row],[Personal care and effects]])</f>
        <v>140.19999999999999</v>
      </c>
      <c r="N241" s="5">
        <f>AVERAGE(All_India_Index_Upto_April23__1___1[[#This Row],[Miscellaneous]])</f>
        <v>145.4</v>
      </c>
      <c r="O241" s="5">
        <f>AVERAGE(All_India_Index_Upto_April23__1___1[[#This Row],[General index]])</f>
        <v>146.69999999999999</v>
      </c>
      <c r="P241" s="2">
        <f t="shared" si="43"/>
        <v>1336.7243589743591</v>
      </c>
      <c r="R241" s="10">
        <f t="shared" si="44"/>
        <v>10.63852030173261</v>
      </c>
      <c r="S241" s="10">
        <f t="shared" si="45"/>
        <v>12.39597370149955</v>
      </c>
      <c r="T241" s="10">
        <f t="shared" si="46"/>
        <v>11.204005198317738</v>
      </c>
      <c r="U241" s="10">
        <f t="shared" si="47"/>
        <v>10.989550614063271</v>
      </c>
      <c r="V241" s="10">
        <f t="shared" si="48"/>
        <v>11.359858820595697</v>
      </c>
      <c r="W241" s="10">
        <f t="shared" si="49"/>
        <v>9.8449616120539574</v>
      </c>
      <c r="X241" s="10">
        <f t="shared" si="50"/>
        <v>11.094284248234059</v>
      </c>
      <c r="Y241" s="10">
        <f t="shared" si="51"/>
        <v>11.984520138685745</v>
      </c>
      <c r="Z241" s="10">
        <f t="shared" si="52"/>
        <v>10.488325364817362</v>
      </c>
    </row>
    <row r="242" spans="1:26" hidden="1" x14ac:dyDescent="0.3">
      <c r="A242" s="6" t="s">
        <v>32</v>
      </c>
      <c r="B242" s="6">
        <v>2019</v>
      </c>
      <c r="C242" s="6" t="s">
        <v>47</v>
      </c>
      <c r="D242" s="21">
        <f t="shared" si="42"/>
        <v>43709</v>
      </c>
      <c r="E242" s="4">
        <f>AVERAGE(All_India_Index_Upto_April23__1___1[[#This Row],[Cereals and products]:[Food and beverages]])</f>
        <v>144.22307692307692</v>
      </c>
      <c r="F242" s="5">
        <f>AVERAGE(All_India_Index_Upto_April23__1___1[[#This Row],[Pan, tobacco and intoxicants]])</f>
        <v>168.6</v>
      </c>
      <c r="G242" s="4">
        <f>AVERAGE(All_India_Index_Upto_April23__1___1[[#This Row],[Clothing]:[Clothing and footwear]])</f>
        <v>140.26666666666668</v>
      </c>
      <c r="H242" s="5">
        <f>AVERAGE(All_India_Index_Upto_April23__1___1[[#This Row],[Housing]:[Fuel and light]])</f>
        <v>126.6</v>
      </c>
      <c r="I242" s="5">
        <f>AVERAGE(All_India_Index_Upto_April23__1___1[[#This Row],[Household goods and services]:[Health]])</f>
        <v>140.10000000000002</v>
      </c>
      <c r="J242" s="5">
        <f>AVERAGE(All_India_Index_Upto_April23__1___1[[#This Row],[Transport and communication]])</f>
        <v>121.2</v>
      </c>
      <c r="K242" s="5">
        <f>AVERAGE(All_India_Index_Upto_April23__1___1[[#This Row],[Recreation and amusement]])</f>
        <v>135.9</v>
      </c>
      <c r="L242" s="5">
        <f>AVERAGE(All_India_Index_Upto_April23__1___1[[#This Row],[Education]])</f>
        <v>151.6</v>
      </c>
      <c r="M242" s="5">
        <f>AVERAGE(All_India_Index_Upto_April23__1___1[[#This Row],[Personal care and effects]])</f>
        <v>139</v>
      </c>
      <c r="N242" s="5">
        <f>AVERAGE(All_India_Index_Upto_April23__1___1[[#This Row],[Miscellaneous]])</f>
        <v>135.69999999999999</v>
      </c>
      <c r="O242" s="5">
        <f>AVERAGE(All_India_Index_Upto_April23__1___1[[#This Row],[General index]])</f>
        <v>144.69999999999999</v>
      </c>
      <c r="P242" s="2">
        <f t="shared" si="43"/>
        <v>1267.4897435897435</v>
      </c>
      <c r="R242" s="10">
        <f t="shared" si="44"/>
        <v>11.378638576957078</v>
      </c>
      <c r="S242" s="10">
        <f t="shared" si="45"/>
        <v>13.301882784668262</v>
      </c>
      <c r="T242" s="10">
        <f t="shared" si="46"/>
        <v>11.066493230107563</v>
      </c>
      <c r="U242" s="10">
        <f t="shared" si="47"/>
        <v>9.9882465037900481</v>
      </c>
      <c r="V242" s="10">
        <f t="shared" si="48"/>
        <v>11.053343879786619</v>
      </c>
      <c r="W242" s="10">
        <f t="shared" si="49"/>
        <v>9.5622075533914206</v>
      </c>
      <c r="X242" s="10">
        <f t="shared" si="50"/>
        <v>10.721980251698795</v>
      </c>
      <c r="Y242" s="10">
        <f t="shared" si="51"/>
        <v>11.960649051931842</v>
      </c>
      <c r="Z242" s="10">
        <f t="shared" si="52"/>
        <v>10.966558167668378</v>
      </c>
    </row>
    <row r="243" spans="1:26" hidden="1" x14ac:dyDescent="0.3">
      <c r="A243" s="5" t="s">
        <v>34</v>
      </c>
      <c r="B243" s="5">
        <v>2019</v>
      </c>
      <c r="C243" s="5" t="s">
        <v>47</v>
      </c>
      <c r="D243" s="21">
        <f t="shared" si="42"/>
        <v>43709</v>
      </c>
      <c r="E243" s="4">
        <f>AVERAGE(All_India_Index_Upto_April23__1___1[[#This Row],[Cereals and products]:[Food and beverages]])</f>
        <v>142.89999999999998</v>
      </c>
      <c r="F243" s="5">
        <f>AVERAGE(All_India_Index_Upto_April23__1___1[[#This Row],[Pan, tobacco and intoxicants]])</f>
        <v>166.5</v>
      </c>
      <c r="G243" s="4">
        <f>AVERAGE(All_India_Index_Upto_April23__1___1[[#This Row],[Clothing]:[Clothing and footwear]])</f>
        <v>145.89999999999998</v>
      </c>
      <c r="H243" s="5">
        <f>AVERAGE(All_India_Index_Upto_April23__1___1[[#This Row],[Housing]:[Fuel and light]])</f>
        <v>139.19999999999999</v>
      </c>
      <c r="I243" s="5">
        <f>AVERAGE(All_India_Index_Upto_April23__1___1[[#This Row],[Household goods and services]:[Health]])</f>
        <v>146.80000000000001</v>
      </c>
      <c r="J243" s="5">
        <f>AVERAGE(All_India_Index_Upto_April23__1___1[[#This Row],[Transport and communication]])</f>
        <v>126.1</v>
      </c>
      <c r="K243" s="5">
        <f>AVERAGE(All_India_Index_Upto_April23__1___1[[#This Row],[Recreation and amusement]])</f>
        <v>141.30000000000001</v>
      </c>
      <c r="L243" s="5">
        <f>AVERAGE(All_India_Index_Upto_April23__1___1[[#This Row],[Education]])</f>
        <v>155.19999999999999</v>
      </c>
      <c r="M243" s="5">
        <f>AVERAGE(All_India_Index_Upto_April23__1___1[[#This Row],[Personal care and effects]])</f>
        <v>139.69999999999999</v>
      </c>
      <c r="N243" s="5">
        <f>AVERAGE(All_India_Index_Upto_April23__1___1[[#This Row],[Miscellaneous]])</f>
        <v>140.69999999999999</v>
      </c>
      <c r="O243" s="5">
        <f>AVERAGE(All_India_Index_Upto_April23__1___1[[#This Row],[General index]])</f>
        <v>145.80000000000001</v>
      </c>
      <c r="P243" s="2">
        <f>AVERAGE(E243:N243)</f>
        <v>144.43</v>
      </c>
      <c r="R243" s="10">
        <f t="shared" si="44"/>
        <v>98.940663297098922</v>
      </c>
      <c r="S243" s="10">
        <f t="shared" si="45"/>
        <v>115.28075884511529</v>
      </c>
      <c r="T243" s="10">
        <f t="shared" si="46"/>
        <v>101.01779408710098</v>
      </c>
      <c r="U243" s="10">
        <f t="shared" si="47"/>
        <v>96.378868656096358</v>
      </c>
      <c r="V243" s="10">
        <f t="shared" si="48"/>
        <v>101.64093332410164</v>
      </c>
      <c r="W243" s="10">
        <f t="shared" si="49"/>
        <v>87.308730873087299</v>
      </c>
      <c r="X243" s="10">
        <f t="shared" si="50"/>
        <v>97.832860209097845</v>
      </c>
      <c r="Y243" s="10">
        <f t="shared" si="51"/>
        <v>107.45689953610744</v>
      </c>
      <c r="Z243" s="10">
        <f t="shared" si="52"/>
        <v>96.725057121096711</v>
      </c>
    </row>
    <row r="244" spans="1:26" hidden="1" x14ac:dyDescent="0.3">
      <c r="A244" s="6" t="s">
        <v>30</v>
      </c>
      <c r="B244" s="6">
        <v>2019</v>
      </c>
      <c r="C244" s="6" t="s">
        <v>49</v>
      </c>
      <c r="D244" s="21">
        <f t="shared" si="42"/>
        <v>43739</v>
      </c>
      <c r="E244" s="4">
        <f>AVERAGE(All_India_Index_Upto_April23__1___1[[#This Row],[Cereals and products]:[Food and beverages]])</f>
        <v>144.37692307692305</v>
      </c>
      <c r="F244" s="5">
        <f>AVERAGE(All_India_Index_Upto_April23__1___1[[#This Row],[Pan, tobacco and intoxicants]])</f>
        <v>166.3</v>
      </c>
      <c r="G244" s="4">
        <f>AVERAGE(All_India_Index_Upto_April23__1___1[[#This Row],[Clothing]:[Clothing and footwear]])</f>
        <v>149.79999999999998</v>
      </c>
      <c r="H244" s="5">
        <f>AVERAGE(All_India_Index_Upto_April23__1___1[[#This Row],[Housing]:[Fuel and light]])</f>
        <v>147.69999999999999</v>
      </c>
      <c r="I244" s="5">
        <f>AVERAGE(All_India_Index_Upto_April23__1___1[[#This Row],[Household goods and services]:[Health]])</f>
        <v>152.14999999999998</v>
      </c>
      <c r="J244" s="5">
        <f>AVERAGE(All_India_Index_Upto_April23__1___1[[#This Row],[Transport and communication]])</f>
        <v>131.69999999999999</v>
      </c>
      <c r="K244" s="5">
        <f>AVERAGE(All_India_Index_Upto_April23__1___1[[#This Row],[Recreation and amusement]])</f>
        <v>148.69999999999999</v>
      </c>
      <c r="L244" s="5">
        <f>AVERAGE(All_India_Index_Upto_April23__1___1[[#This Row],[Education]])</f>
        <v>160.69999999999999</v>
      </c>
      <c r="M244" s="5">
        <f>AVERAGE(All_India_Index_Upto_April23__1___1[[#This Row],[Personal care and effects]])</f>
        <v>140.30000000000001</v>
      </c>
      <c r="N244" s="5">
        <f>AVERAGE(All_India_Index_Upto_April23__1___1[[#This Row],[Miscellaneous]])</f>
        <v>145.69999999999999</v>
      </c>
      <c r="O244" s="5">
        <f>AVERAGE(All_India_Index_Upto_April23__1___1[[#This Row],[General index]])</f>
        <v>148.30000000000001</v>
      </c>
      <c r="P244" s="2">
        <f t="shared" si="43"/>
        <v>1341.726923076923</v>
      </c>
      <c r="R244" s="10">
        <f t="shared" si="44"/>
        <v>10.760529627431925</v>
      </c>
      <c r="S244" s="10">
        <f t="shared" si="45"/>
        <v>12.394474400098613</v>
      </c>
      <c r="T244" s="10">
        <f t="shared" si="46"/>
        <v>11.164715965933684</v>
      </c>
      <c r="U244" s="10">
        <f t="shared" si="47"/>
        <v>11.008201256130876</v>
      </c>
      <c r="V244" s="10">
        <f t="shared" si="48"/>
        <v>11.339863379284445</v>
      </c>
      <c r="W244" s="10">
        <f t="shared" si="49"/>
        <v>9.8157082290618582</v>
      </c>
      <c r="X244" s="10">
        <f t="shared" si="50"/>
        <v>11.08273207032269</v>
      </c>
      <c r="Y244" s="10">
        <f t="shared" si="51"/>
        <v>11.977101840624453</v>
      </c>
      <c r="Z244" s="10">
        <f t="shared" si="52"/>
        <v>10.456673231111457</v>
      </c>
    </row>
    <row r="245" spans="1:26" hidden="1" x14ac:dyDescent="0.3">
      <c r="A245" s="5" t="s">
        <v>32</v>
      </c>
      <c r="B245" s="5">
        <v>2019</v>
      </c>
      <c r="C245" s="5" t="s">
        <v>49</v>
      </c>
      <c r="D245" s="21">
        <f t="shared" si="42"/>
        <v>43739</v>
      </c>
      <c r="E245" s="4">
        <f>AVERAGE(All_India_Index_Upto_April23__1___1[[#This Row],[Cereals and products]:[Food and beverages]])</f>
        <v>146.35384615384618</v>
      </c>
      <c r="F245" s="5">
        <f>AVERAGE(All_India_Index_Upto_April23__1___1[[#This Row],[Pan, tobacco and intoxicants]])</f>
        <v>169.3</v>
      </c>
      <c r="G245" s="4">
        <f>AVERAGE(All_India_Index_Upto_April23__1___1[[#This Row],[Clothing]:[Clothing and footwear]])</f>
        <v>140.73333333333335</v>
      </c>
      <c r="H245" s="5">
        <f>AVERAGE(All_India_Index_Upto_April23__1___1[[#This Row],[Housing]:[Fuel and light]])</f>
        <v>128.9</v>
      </c>
      <c r="I245" s="5">
        <f>AVERAGE(All_India_Index_Upto_April23__1___1[[#This Row],[Household goods and services]:[Health]])</f>
        <v>140.55000000000001</v>
      </c>
      <c r="J245" s="5">
        <f>AVERAGE(All_India_Index_Upto_April23__1___1[[#This Row],[Transport and communication]])</f>
        <v>121.5</v>
      </c>
      <c r="K245" s="5">
        <f>AVERAGE(All_India_Index_Upto_April23__1___1[[#This Row],[Recreation and amusement]])</f>
        <v>136.19999999999999</v>
      </c>
      <c r="L245" s="5">
        <f>AVERAGE(All_India_Index_Upto_April23__1___1[[#This Row],[Education]])</f>
        <v>151.69999999999999</v>
      </c>
      <c r="M245" s="5">
        <f>AVERAGE(All_India_Index_Upto_April23__1___1[[#This Row],[Personal care and effects]])</f>
        <v>139.5</v>
      </c>
      <c r="N245" s="5">
        <f>AVERAGE(All_India_Index_Upto_April23__1___1[[#This Row],[Miscellaneous]])</f>
        <v>136</v>
      </c>
      <c r="O245" s="5">
        <f>AVERAGE(All_India_Index_Upto_April23__1___1[[#This Row],[General index]])</f>
        <v>146</v>
      </c>
      <c r="P245" s="2">
        <f t="shared" si="43"/>
        <v>1274.7371794871797</v>
      </c>
      <c r="R245" s="10">
        <f t="shared" si="44"/>
        <v>11.481099673638106</v>
      </c>
      <c r="S245" s="10">
        <f t="shared" si="45"/>
        <v>13.281169069541734</v>
      </c>
      <c r="T245" s="10">
        <f t="shared" si="46"/>
        <v>11.040184251152827</v>
      </c>
      <c r="U245" s="10">
        <f t="shared" si="47"/>
        <v>10.111888322882042</v>
      </c>
      <c r="V245" s="10">
        <f t="shared" si="48"/>
        <v>11.0258022015599</v>
      </c>
      <c r="W245" s="10">
        <f t="shared" si="49"/>
        <v>9.5313765029493247</v>
      </c>
      <c r="X245" s="10">
        <f t="shared" si="50"/>
        <v>10.68455538849134</v>
      </c>
      <c r="Y245" s="10">
        <f t="shared" si="51"/>
        <v>11.900492308620679</v>
      </c>
      <c r="Z245" s="10">
        <f t="shared" si="52"/>
        <v>10.943432281164039</v>
      </c>
    </row>
    <row r="246" spans="1:26" hidden="1" x14ac:dyDescent="0.3">
      <c r="A246" s="6" t="s">
        <v>34</v>
      </c>
      <c r="B246" s="6">
        <v>2019</v>
      </c>
      <c r="C246" s="6" t="s">
        <v>49</v>
      </c>
      <c r="D246" s="21">
        <f t="shared" si="42"/>
        <v>43739</v>
      </c>
      <c r="E246" s="4">
        <f>AVERAGE(All_India_Index_Upto_April23__1___1[[#This Row],[Cereals and products]:[Food and beverages]])</f>
        <v>145.04615384615383</v>
      </c>
      <c r="F246" s="5">
        <f>AVERAGE(All_India_Index_Upto_April23__1___1[[#This Row],[Pan, tobacco and intoxicants]])</f>
        <v>167.1</v>
      </c>
      <c r="G246" s="4">
        <f>AVERAGE(All_India_Index_Upto_April23__1___1[[#This Row],[Clothing]:[Clothing and footwear]])</f>
        <v>146.13333333333335</v>
      </c>
      <c r="H246" s="5">
        <f>AVERAGE(All_India_Index_Upto_April23__1___1[[#This Row],[Housing]:[Fuel and light]])</f>
        <v>140.6</v>
      </c>
      <c r="I246" s="5">
        <f>AVERAGE(All_India_Index_Upto_April23__1___1[[#This Row],[Household goods and services]:[Health]])</f>
        <v>147.19999999999999</v>
      </c>
      <c r="J246" s="5">
        <f>AVERAGE(All_India_Index_Upto_April23__1___1[[#This Row],[Transport and communication]])</f>
        <v>126.3</v>
      </c>
      <c r="K246" s="5">
        <f>AVERAGE(All_India_Index_Upto_April23__1___1[[#This Row],[Recreation and amusement]])</f>
        <v>141.69999999999999</v>
      </c>
      <c r="L246" s="5">
        <f>AVERAGE(All_India_Index_Upto_April23__1___1[[#This Row],[Education]])</f>
        <v>155.4</v>
      </c>
      <c r="M246" s="5">
        <f>AVERAGE(All_India_Index_Upto_April23__1___1[[#This Row],[Personal care and effects]])</f>
        <v>140</v>
      </c>
      <c r="N246" s="5">
        <f>AVERAGE(All_India_Index_Upto_April23__1___1[[#This Row],[Miscellaneous]])</f>
        <v>141</v>
      </c>
      <c r="O246" s="5">
        <f>AVERAGE(All_India_Index_Upto_April23__1___1[[#This Row],[General index]])</f>
        <v>147.19999999999999</v>
      </c>
      <c r="P246" s="2">
        <f>AVERAGE(E246:N246)</f>
        <v>145.04794871794871</v>
      </c>
      <c r="R246" s="10">
        <f t="shared" si="44"/>
        <v>99.998762566578321</v>
      </c>
      <c r="S246" s="10">
        <f t="shared" si="45"/>
        <v>115.20328379474869</v>
      </c>
      <c r="T246" s="10">
        <f t="shared" si="46"/>
        <v>100.74829366769964</v>
      </c>
      <c r="U246" s="10">
        <f t="shared" si="47"/>
        <v>96.933463204917203</v>
      </c>
      <c r="V246" s="10">
        <f t="shared" si="48"/>
        <v>101.48368267257335</v>
      </c>
      <c r="W246" s="10">
        <f t="shared" si="49"/>
        <v>87.0746543583289</v>
      </c>
      <c r="X246" s="10">
        <f t="shared" si="50"/>
        <v>97.691833116193223</v>
      </c>
      <c r="Y246" s="10">
        <f t="shared" si="51"/>
        <v>107.13698564754009</v>
      </c>
      <c r="Z246" s="10">
        <f t="shared" si="52"/>
        <v>96.519806889675735</v>
      </c>
    </row>
    <row r="247" spans="1:26" hidden="1" x14ac:dyDescent="0.3">
      <c r="A247" s="5" t="s">
        <v>30</v>
      </c>
      <c r="B247" s="5">
        <v>2019</v>
      </c>
      <c r="C247" s="5" t="s">
        <v>52</v>
      </c>
      <c r="D247" s="21">
        <f t="shared" si="42"/>
        <v>43770</v>
      </c>
      <c r="E247" s="4">
        <f>AVERAGE(All_India_Index_Upto_April23__1___1[[#This Row],[Cereals and products]:[Food and beverages]])</f>
        <v>146.50769230769231</v>
      </c>
      <c r="F247" s="5">
        <f>AVERAGE(All_India_Index_Upto_April23__1___1[[#This Row],[Pan, tobacco and intoxicants]])</f>
        <v>167.2</v>
      </c>
      <c r="G247" s="4">
        <f>AVERAGE(All_India_Index_Upto_April23__1___1[[#This Row],[Clothing]:[Clothing and footwear]])</f>
        <v>150.26666666666668</v>
      </c>
      <c r="H247" s="5">
        <f>AVERAGE(All_India_Index_Upto_April23__1___1[[#This Row],[Housing]:[Fuel and light]])</f>
        <v>148.4</v>
      </c>
      <c r="I247" s="5">
        <f>AVERAGE(All_India_Index_Upto_April23__1___1[[#This Row],[Household goods and services]:[Health]])</f>
        <v>152.60000000000002</v>
      </c>
      <c r="J247" s="5">
        <f>AVERAGE(All_India_Index_Upto_April23__1___1[[#This Row],[Transport and communication]])</f>
        <v>132.1</v>
      </c>
      <c r="K247" s="5">
        <f>AVERAGE(All_India_Index_Upto_April23__1___1[[#This Row],[Recreation and amusement]])</f>
        <v>149.1</v>
      </c>
      <c r="L247" s="5">
        <f>AVERAGE(All_India_Index_Upto_April23__1___1[[#This Row],[Education]])</f>
        <v>160.80000000000001</v>
      </c>
      <c r="M247" s="5">
        <f>AVERAGE(All_India_Index_Upto_April23__1___1[[#This Row],[Personal care and effects]])</f>
        <v>140.6</v>
      </c>
      <c r="N247" s="5">
        <f>AVERAGE(All_India_Index_Upto_April23__1___1[[#This Row],[Miscellaneous]])</f>
        <v>146.1</v>
      </c>
      <c r="O247" s="5">
        <f>AVERAGE(All_India_Index_Upto_April23__1___1[[#This Row],[General index]])</f>
        <v>149.9</v>
      </c>
      <c r="P247" s="2">
        <f t="shared" si="43"/>
        <v>1347.5743589743588</v>
      </c>
      <c r="R247" s="10">
        <f t="shared" si="44"/>
        <v>10.871956069214583</v>
      </c>
      <c r="S247" s="10">
        <f t="shared" si="45"/>
        <v>12.407478584503211</v>
      </c>
      <c r="T247" s="10">
        <f t="shared" si="46"/>
        <v>11.150899812388454</v>
      </c>
      <c r="U247" s="10">
        <f t="shared" si="47"/>
        <v>11.012379317824621</v>
      </c>
      <c r="V247" s="10">
        <f t="shared" si="48"/>
        <v>11.324050430593244</v>
      </c>
      <c r="W247" s="10">
        <f t="shared" si="49"/>
        <v>9.8027985706511611</v>
      </c>
      <c r="X247" s="10">
        <f t="shared" si="50"/>
        <v>11.064324503286057</v>
      </c>
      <c r="Y247" s="10">
        <f t="shared" si="51"/>
        <v>11.932551174570074</v>
      </c>
      <c r="Z247" s="10">
        <f t="shared" si="52"/>
        <v>10.433561536968609</v>
      </c>
    </row>
    <row r="248" spans="1:26" hidden="1" x14ac:dyDescent="0.3">
      <c r="A248" s="6" t="s">
        <v>32</v>
      </c>
      <c r="B248" s="6">
        <v>2019</v>
      </c>
      <c r="C248" s="6" t="s">
        <v>52</v>
      </c>
      <c r="D248" s="21">
        <f t="shared" si="42"/>
        <v>43770</v>
      </c>
      <c r="E248" s="4">
        <f>AVERAGE(All_India_Index_Upto_April23__1___1[[#This Row],[Cereals and products]:[Food and beverages]])</f>
        <v>147.99999999999997</v>
      </c>
      <c r="F248" s="5">
        <f>AVERAGE(All_India_Index_Upto_April23__1___1[[#This Row],[Pan, tobacco and intoxicants]])</f>
        <v>169.9</v>
      </c>
      <c r="G248" s="4">
        <f>AVERAGE(All_India_Index_Upto_April23__1___1[[#This Row],[Clothing]:[Clothing and footwear]])</f>
        <v>141.03333333333333</v>
      </c>
      <c r="H248" s="5">
        <f>AVERAGE(All_India_Index_Upto_April23__1___1[[#This Row],[Housing]:[Fuel and light]])</f>
        <v>132.19999999999999</v>
      </c>
      <c r="I248" s="5">
        <f>AVERAGE(All_India_Index_Upto_April23__1___1[[#This Row],[Household goods and services]:[Health]])</f>
        <v>140.94999999999999</v>
      </c>
      <c r="J248" s="5">
        <f>AVERAGE(All_India_Index_Upto_April23__1___1[[#This Row],[Transport and communication]])</f>
        <v>121.7</v>
      </c>
      <c r="K248" s="5">
        <f>AVERAGE(All_India_Index_Upto_April23__1___1[[#This Row],[Recreation and amusement]])</f>
        <v>136.69999999999999</v>
      </c>
      <c r="L248" s="5">
        <f>AVERAGE(All_India_Index_Upto_April23__1___1[[#This Row],[Education]])</f>
        <v>151.80000000000001</v>
      </c>
      <c r="M248" s="5">
        <f>AVERAGE(All_India_Index_Upto_April23__1___1[[#This Row],[Personal care and effects]])</f>
        <v>139.80000000000001</v>
      </c>
      <c r="N248" s="5">
        <f>AVERAGE(All_India_Index_Upto_April23__1___1[[#This Row],[Miscellaneous]])</f>
        <v>136.30000000000001</v>
      </c>
      <c r="O248" s="5">
        <f>AVERAGE(All_India_Index_Upto_April23__1___1[[#This Row],[General index]])</f>
        <v>147</v>
      </c>
      <c r="P248" s="2">
        <f t="shared" si="43"/>
        <v>1282.0833333333333</v>
      </c>
      <c r="R248" s="10">
        <f t="shared" si="44"/>
        <v>11.543711407214818</v>
      </c>
      <c r="S248" s="10">
        <f t="shared" si="45"/>
        <v>13.251868703282419</v>
      </c>
      <c r="T248" s="10">
        <f t="shared" si="46"/>
        <v>11.000324991875203</v>
      </c>
      <c r="U248" s="10">
        <f t="shared" si="47"/>
        <v>10.311342216444588</v>
      </c>
      <c r="V248" s="10">
        <f t="shared" si="48"/>
        <v>10.993825154371141</v>
      </c>
      <c r="W248" s="10">
        <f t="shared" si="49"/>
        <v>9.4923626909327279</v>
      </c>
      <c r="X248" s="10">
        <f t="shared" si="50"/>
        <v>10.662333441663959</v>
      </c>
      <c r="Y248" s="10">
        <f t="shared" si="51"/>
        <v>11.840103997400067</v>
      </c>
      <c r="Z248" s="10">
        <f t="shared" si="52"/>
        <v>10.904127396815081</v>
      </c>
    </row>
    <row r="249" spans="1:26" hidden="1" x14ac:dyDescent="0.3">
      <c r="A249" s="5" t="s">
        <v>34</v>
      </c>
      <c r="B249" s="5">
        <v>2019</v>
      </c>
      <c r="C249" s="5" t="s">
        <v>52</v>
      </c>
      <c r="D249" s="21">
        <f t="shared" si="42"/>
        <v>43770</v>
      </c>
      <c r="E249" s="4">
        <f>AVERAGE(All_India_Index_Upto_April23__1___1[[#This Row],[Cereals and products]:[Food and beverages]])</f>
        <v>146.99230769230769</v>
      </c>
      <c r="F249" s="5">
        <f>AVERAGE(All_India_Index_Upto_April23__1___1[[#This Row],[Pan, tobacco and intoxicants]])</f>
        <v>167.9</v>
      </c>
      <c r="G249" s="4">
        <f>AVERAGE(All_India_Index_Upto_April23__1___1[[#This Row],[Clothing]:[Clothing and footwear]])</f>
        <v>146.5</v>
      </c>
      <c r="H249" s="5">
        <f>AVERAGE(All_India_Index_Upto_April23__1___1[[#This Row],[Housing]:[Fuel and light]])</f>
        <v>142.30000000000001</v>
      </c>
      <c r="I249" s="5">
        <f>AVERAGE(All_India_Index_Upto_April23__1___1[[#This Row],[Household goods and services]:[Health]])</f>
        <v>147.60000000000002</v>
      </c>
      <c r="J249" s="5">
        <f>AVERAGE(All_India_Index_Upto_April23__1___1[[#This Row],[Transport and communication]])</f>
        <v>126.6</v>
      </c>
      <c r="K249" s="5">
        <f>AVERAGE(All_India_Index_Upto_April23__1___1[[#This Row],[Recreation and amusement]])</f>
        <v>142.1</v>
      </c>
      <c r="L249" s="5">
        <f>AVERAGE(All_India_Index_Upto_April23__1___1[[#This Row],[Education]])</f>
        <v>155.5</v>
      </c>
      <c r="M249" s="5">
        <f>AVERAGE(All_India_Index_Upto_April23__1___1[[#This Row],[Personal care and effects]])</f>
        <v>140.30000000000001</v>
      </c>
      <c r="N249" s="5">
        <f>AVERAGE(All_India_Index_Upto_April23__1___1[[#This Row],[Miscellaneous]])</f>
        <v>141.30000000000001</v>
      </c>
      <c r="O249" s="5">
        <f>AVERAGE(All_India_Index_Upto_April23__1___1[[#This Row],[General index]])</f>
        <v>148.6</v>
      </c>
      <c r="P249" s="2">
        <f>AVERAGE(E249:N249)</f>
        <v>145.70923076923077</v>
      </c>
      <c r="R249" s="10">
        <f t="shared" si="44"/>
        <v>100.88057353422516</v>
      </c>
      <c r="S249" s="10">
        <f t="shared" si="45"/>
        <v>115.22948759911731</v>
      </c>
      <c r="T249" s="10">
        <f t="shared" si="46"/>
        <v>100.54270359303565</v>
      </c>
      <c r="U249" s="10">
        <f t="shared" si="47"/>
        <v>97.660250657262623</v>
      </c>
      <c r="V249" s="10">
        <f t="shared" si="48"/>
        <v>101.29763174288098</v>
      </c>
      <c r="W249" s="10">
        <f t="shared" si="49"/>
        <v>86.885367064015796</v>
      </c>
      <c r="X249" s="10">
        <f t="shared" si="50"/>
        <v>97.522990993654375</v>
      </c>
      <c r="Y249" s="10">
        <f t="shared" si="51"/>
        <v>106.71938845540645</v>
      </c>
      <c r="Z249" s="10">
        <f t="shared" si="52"/>
        <v>96.287654021180231</v>
      </c>
    </row>
    <row r="250" spans="1:26" hidden="1" x14ac:dyDescent="0.3">
      <c r="A250" s="6" t="s">
        <v>30</v>
      </c>
      <c r="B250" s="6">
        <v>2019</v>
      </c>
      <c r="C250" s="6" t="s">
        <v>54</v>
      </c>
      <c r="D250" s="21">
        <f t="shared" si="42"/>
        <v>43800</v>
      </c>
      <c r="E250" s="4">
        <f>AVERAGE(All_India_Index_Upto_April23__1___1[[#This Row],[Cereals and products]:[Food and beverages]])</f>
        <v>149.30769230769226</v>
      </c>
      <c r="F250" s="5">
        <f>AVERAGE(All_India_Index_Upto_April23__1___1[[#This Row],[Pan, tobacco and intoxicants]])</f>
        <v>167.8</v>
      </c>
      <c r="G250" s="4">
        <f>AVERAGE(All_India_Index_Upto_April23__1___1[[#This Row],[Clothing]:[Clothing and footwear]])</f>
        <v>150.6</v>
      </c>
      <c r="H250" s="5">
        <f>AVERAGE(All_India_Index_Upto_April23__1___1[[#This Row],[Housing]:[Fuel and light]])</f>
        <v>149.9</v>
      </c>
      <c r="I250" s="5">
        <f>AVERAGE(All_India_Index_Upto_April23__1___1[[#This Row],[Household goods and services]:[Health]])</f>
        <v>153</v>
      </c>
      <c r="J250" s="5">
        <f>AVERAGE(All_India_Index_Upto_April23__1___1[[#This Row],[Transport and communication]])</f>
        <v>135</v>
      </c>
      <c r="K250" s="5">
        <f>AVERAGE(All_India_Index_Upto_April23__1___1[[#This Row],[Recreation and amusement]])</f>
        <v>149.5</v>
      </c>
      <c r="L250" s="5">
        <f>AVERAGE(All_India_Index_Upto_April23__1___1[[#This Row],[Education]])</f>
        <v>161.1</v>
      </c>
      <c r="M250" s="5">
        <f>AVERAGE(All_India_Index_Upto_April23__1___1[[#This Row],[Personal care and effects]])</f>
        <v>140.6</v>
      </c>
      <c r="N250" s="5">
        <f>AVERAGE(All_India_Index_Upto_April23__1___1[[#This Row],[Miscellaneous]])</f>
        <v>147.1</v>
      </c>
      <c r="O250" s="5">
        <f>AVERAGE(All_India_Index_Upto_April23__1___1[[#This Row],[General index]])</f>
        <v>152.30000000000001</v>
      </c>
      <c r="P250" s="2">
        <f t="shared" si="43"/>
        <v>1356.8076923076919</v>
      </c>
      <c r="R250" s="10">
        <f t="shared" si="44"/>
        <v>11.004337103495194</v>
      </c>
      <c r="S250" s="10">
        <f t="shared" si="45"/>
        <v>12.367264790089864</v>
      </c>
      <c r="T250" s="10">
        <f t="shared" si="46"/>
        <v>11.099583297899486</v>
      </c>
      <c r="U250" s="10">
        <f t="shared" si="47"/>
        <v>11.04799160926383</v>
      </c>
      <c r="V250" s="10">
        <f t="shared" si="48"/>
        <v>11.276469087507444</v>
      </c>
      <c r="W250" s="10">
        <f t="shared" si="49"/>
        <v>9.9498256654477455</v>
      </c>
      <c r="X250" s="10">
        <f t="shared" si="50"/>
        <v>11.01851064432917</v>
      </c>
      <c r="Y250" s="10">
        <f t="shared" si="51"/>
        <v>11.873458627434308</v>
      </c>
      <c r="Z250" s="10">
        <f t="shared" si="52"/>
        <v>10.362559174532985</v>
      </c>
    </row>
    <row r="251" spans="1:26" hidden="1" x14ac:dyDescent="0.3">
      <c r="A251" s="5" t="s">
        <v>32</v>
      </c>
      <c r="B251" s="5">
        <v>2019</v>
      </c>
      <c r="C251" s="5" t="s">
        <v>54</v>
      </c>
      <c r="D251" s="21">
        <f t="shared" si="42"/>
        <v>43800</v>
      </c>
      <c r="E251" s="4">
        <f>AVERAGE(All_India_Index_Upto_April23__1___1[[#This Row],[Cereals and products]:[Food and beverages]])</f>
        <v>150.51538461538462</v>
      </c>
      <c r="F251" s="5">
        <f>AVERAGE(All_India_Index_Upto_April23__1___1[[#This Row],[Pan, tobacco and intoxicants]])</f>
        <v>170.4</v>
      </c>
      <c r="G251" s="4">
        <f>AVERAGE(All_India_Index_Upto_April23__1___1[[#This Row],[Clothing]:[Clothing and footwear]])</f>
        <v>141.4</v>
      </c>
      <c r="H251" s="5">
        <f>AVERAGE(All_India_Index_Upto_April23__1___1[[#This Row],[Housing]:[Fuel and light]])</f>
        <v>133.6</v>
      </c>
      <c r="I251" s="5">
        <f>AVERAGE(All_India_Index_Upto_April23__1___1[[#This Row],[Household goods and services]:[Health]])</f>
        <v>141.5</v>
      </c>
      <c r="J251" s="5">
        <f>AVERAGE(All_India_Index_Upto_April23__1___1[[#This Row],[Transport and communication]])</f>
        <v>125.2</v>
      </c>
      <c r="K251" s="5">
        <f>AVERAGE(All_India_Index_Upto_April23__1___1[[#This Row],[Recreation and amusement]])</f>
        <v>136.80000000000001</v>
      </c>
      <c r="L251" s="5">
        <f>AVERAGE(All_India_Index_Upto_April23__1___1[[#This Row],[Education]])</f>
        <v>151.9</v>
      </c>
      <c r="M251" s="5">
        <f>AVERAGE(All_India_Index_Upto_April23__1___1[[#This Row],[Personal care and effects]])</f>
        <v>140.19999999999999</v>
      </c>
      <c r="N251" s="5">
        <f>AVERAGE(All_India_Index_Upto_April23__1___1[[#This Row],[Miscellaneous]])</f>
        <v>137.69999999999999</v>
      </c>
      <c r="O251" s="5">
        <f>AVERAGE(All_India_Index_Upto_April23__1___1[[#This Row],[General index]])</f>
        <v>148.30000000000001</v>
      </c>
      <c r="P251" s="2">
        <f t="shared" si="43"/>
        <v>1291.5153846153848</v>
      </c>
      <c r="R251" s="10">
        <f t="shared" si="44"/>
        <v>11.65416892499568</v>
      </c>
      <c r="S251" s="10">
        <f t="shared" si="45"/>
        <v>13.193803343716681</v>
      </c>
      <c r="T251" s="10">
        <f t="shared" si="46"/>
        <v>10.948379065736729</v>
      </c>
      <c r="U251" s="10">
        <f t="shared" si="47"/>
        <v>10.3444373633835</v>
      </c>
      <c r="V251" s="10">
        <f t="shared" si="48"/>
        <v>10.956121908074591</v>
      </c>
      <c r="W251" s="10">
        <f t="shared" si="49"/>
        <v>9.694038607003101</v>
      </c>
      <c r="X251" s="10">
        <f t="shared" si="50"/>
        <v>10.592208318195082</v>
      </c>
      <c r="Y251" s="10">
        <f t="shared" si="51"/>
        <v>11.761377511212229</v>
      </c>
      <c r="Z251" s="10">
        <f t="shared" si="52"/>
        <v>10.855464957682386</v>
      </c>
    </row>
    <row r="252" spans="1:26" hidden="1" x14ac:dyDescent="0.3">
      <c r="A252" s="6" t="s">
        <v>34</v>
      </c>
      <c r="B252" s="6">
        <v>2019</v>
      </c>
      <c r="C252" s="6" t="s">
        <v>54</v>
      </c>
      <c r="D252" s="21">
        <f t="shared" si="42"/>
        <v>43800</v>
      </c>
      <c r="E252" s="4">
        <f>AVERAGE(All_India_Index_Upto_April23__1___1[[#This Row],[Cereals and products]:[Food and beverages]])</f>
        <v>149.70000000000002</v>
      </c>
      <c r="F252" s="5">
        <f>AVERAGE(All_India_Index_Upto_April23__1___1[[#This Row],[Pan, tobacco and intoxicants]])</f>
        <v>168.5</v>
      </c>
      <c r="G252" s="4">
        <f>AVERAGE(All_India_Index_Upto_April23__1___1[[#This Row],[Clothing]:[Clothing and footwear]])</f>
        <v>146.86666666666667</v>
      </c>
      <c r="H252" s="5">
        <f>AVERAGE(All_India_Index_Upto_April23__1___1[[#This Row],[Housing]:[Fuel and light]])</f>
        <v>143.69999999999999</v>
      </c>
      <c r="I252" s="5">
        <f>AVERAGE(All_India_Index_Upto_April23__1___1[[#This Row],[Household goods and services]:[Health]])</f>
        <v>148.10000000000002</v>
      </c>
      <c r="J252" s="5">
        <f>AVERAGE(All_India_Index_Upto_April23__1___1[[#This Row],[Transport and communication]])</f>
        <v>129.80000000000001</v>
      </c>
      <c r="K252" s="5">
        <f>AVERAGE(All_India_Index_Upto_April23__1___1[[#This Row],[Recreation and amusement]])</f>
        <v>142.30000000000001</v>
      </c>
      <c r="L252" s="5">
        <f>AVERAGE(All_India_Index_Upto_April23__1___1[[#This Row],[Education]])</f>
        <v>155.69999999999999</v>
      </c>
      <c r="M252" s="5">
        <f>AVERAGE(All_India_Index_Upto_April23__1___1[[#This Row],[Personal care and effects]])</f>
        <v>140.4</v>
      </c>
      <c r="N252" s="5">
        <f>AVERAGE(All_India_Index_Upto_April23__1___1[[#This Row],[Miscellaneous]])</f>
        <v>142.5</v>
      </c>
      <c r="O252" s="5">
        <f>AVERAGE(All_India_Index_Upto_April23__1___1[[#This Row],[General index]])</f>
        <v>150.4</v>
      </c>
      <c r="P252" s="2">
        <f>AVERAGE(E252:N252)</f>
        <v>146.75666666666669</v>
      </c>
      <c r="R252" s="10">
        <f t="shared" si="44"/>
        <v>102.00558748040976</v>
      </c>
      <c r="S252" s="10">
        <f t="shared" si="45"/>
        <v>114.81590841983326</v>
      </c>
      <c r="T252" s="10">
        <f t="shared" si="46"/>
        <v>100.07495400549662</v>
      </c>
      <c r="U252" s="10">
        <f t="shared" si="47"/>
        <v>97.9171871805937</v>
      </c>
      <c r="V252" s="10">
        <f t="shared" si="48"/>
        <v>100.9153474004588</v>
      </c>
      <c r="W252" s="10">
        <f t="shared" si="49"/>
        <v>88.445726486019936</v>
      </c>
      <c r="X252" s="10">
        <f t="shared" si="50"/>
        <v>96.963227110636652</v>
      </c>
      <c r="Y252" s="10">
        <f t="shared" si="51"/>
        <v>106.09398778022575</v>
      </c>
      <c r="Z252" s="10">
        <f t="shared" si="52"/>
        <v>95.668567015694904</v>
      </c>
    </row>
    <row r="253" spans="1:26" hidden="1" x14ac:dyDescent="0.3">
      <c r="A253" s="5" t="s">
        <v>30</v>
      </c>
      <c r="B253" s="5">
        <v>2020</v>
      </c>
      <c r="C253" s="5" t="s">
        <v>31</v>
      </c>
      <c r="D253" s="21">
        <f t="shared" si="42"/>
        <v>43831</v>
      </c>
      <c r="E253" s="4">
        <f>AVERAGE(All_India_Index_Upto_April23__1___1[[#This Row],[Cereals and products]:[Food and beverages]])</f>
        <v>149.12307692307692</v>
      </c>
      <c r="F253" s="5">
        <f>AVERAGE(All_India_Index_Upto_April23__1___1[[#This Row],[Pan, tobacco and intoxicants]])</f>
        <v>168.6</v>
      </c>
      <c r="G253" s="4">
        <f>AVERAGE(All_India_Index_Upto_April23__1___1[[#This Row],[Clothing]:[Clothing and footwear]])</f>
        <v>150.76666666666668</v>
      </c>
      <c r="H253" s="5">
        <f>AVERAGE(All_India_Index_Upto_April23__1___1[[#This Row],[Housing]:[Fuel and light]])</f>
        <v>150.4</v>
      </c>
      <c r="I253" s="5">
        <f>AVERAGE(All_India_Index_Upto_April23__1___1[[#This Row],[Household goods and services]:[Health]])</f>
        <v>153.69999999999999</v>
      </c>
      <c r="J253" s="5">
        <f>AVERAGE(All_India_Index_Upto_April23__1___1[[#This Row],[Transport and communication]])</f>
        <v>136.30000000000001</v>
      </c>
      <c r="K253" s="5">
        <f>AVERAGE(All_India_Index_Upto_April23__1___1[[#This Row],[Recreation and amusement]])</f>
        <v>150.1</v>
      </c>
      <c r="L253" s="5">
        <f>AVERAGE(All_India_Index_Upto_April23__1___1[[#This Row],[Education]])</f>
        <v>161.69999999999999</v>
      </c>
      <c r="M253" s="5">
        <f>AVERAGE(All_India_Index_Upto_April23__1___1[[#This Row],[Personal care and effects]])</f>
        <v>142.5</v>
      </c>
      <c r="N253" s="5">
        <f>AVERAGE(All_India_Index_Upto_April23__1___1[[#This Row],[Miscellaneous]])</f>
        <v>148.1</v>
      </c>
      <c r="O253" s="5">
        <f>AVERAGE(All_India_Index_Upto_April23__1___1[[#This Row],[General index]])</f>
        <v>151.9</v>
      </c>
      <c r="P253" s="2">
        <f t="shared" si="43"/>
        <v>1363.1897435897436</v>
      </c>
      <c r="R253" s="10">
        <f t="shared" si="44"/>
        <v>10.939275154050456</v>
      </c>
      <c r="S253" s="10">
        <f t="shared" si="45"/>
        <v>12.368050800911888</v>
      </c>
      <c r="T253" s="10">
        <f t="shared" si="46"/>
        <v>11.059844557636314</v>
      </c>
      <c r="U253" s="10">
        <f t="shared" si="47"/>
        <v>11.032946859176441</v>
      </c>
      <c r="V253" s="10">
        <f t="shared" si="48"/>
        <v>11.275026145315286</v>
      </c>
      <c r="W253" s="10">
        <f t="shared" si="49"/>
        <v>9.9986080911286503</v>
      </c>
      <c r="X253" s="10">
        <f t="shared" si="50"/>
        <v>11.010939651345637</v>
      </c>
      <c r="Y253" s="10">
        <f t="shared" si="51"/>
        <v>11.861885020803394</v>
      </c>
      <c r="Z253" s="10">
        <f t="shared" si="52"/>
        <v>10.453423719631934</v>
      </c>
    </row>
    <row r="254" spans="1:26" hidden="1" x14ac:dyDescent="0.3">
      <c r="A254" s="6" t="s">
        <v>32</v>
      </c>
      <c r="B254" s="6">
        <v>2020</v>
      </c>
      <c r="C254" s="6" t="s">
        <v>31</v>
      </c>
      <c r="D254" s="21">
        <f t="shared" si="42"/>
        <v>43831</v>
      </c>
      <c r="E254" s="4">
        <f>AVERAGE(All_India_Index_Upto_April23__1___1[[#This Row],[Cereals and products]:[Food and beverages]])</f>
        <v>149.64615384615382</v>
      </c>
      <c r="F254" s="5">
        <f>AVERAGE(All_India_Index_Upto_April23__1___1[[#This Row],[Pan, tobacco and intoxicants]])</f>
        <v>170.8</v>
      </c>
      <c r="G254" s="4">
        <f>AVERAGE(All_India_Index_Upto_April23__1___1[[#This Row],[Clothing]:[Clothing and footwear]])</f>
        <v>141.70000000000002</v>
      </c>
      <c r="H254" s="5">
        <f>AVERAGE(All_India_Index_Upto_April23__1___1[[#This Row],[Housing]:[Fuel and light]])</f>
        <v>135.1</v>
      </c>
      <c r="I254" s="5">
        <f>AVERAGE(All_India_Index_Upto_April23__1___1[[#This Row],[Household goods and services]:[Health]])</f>
        <v>141.94999999999999</v>
      </c>
      <c r="J254" s="5">
        <f>AVERAGE(All_India_Index_Upto_April23__1___1[[#This Row],[Transport and communication]])</f>
        <v>126.1</v>
      </c>
      <c r="K254" s="5">
        <f>AVERAGE(All_India_Index_Upto_April23__1___1[[#This Row],[Recreation and amusement]])</f>
        <v>137.19999999999999</v>
      </c>
      <c r="L254" s="5">
        <f>AVERAGE(All_India_Index_Upto_April23__1___1[[#This Row],[Education]])</f>
        <v>152.1</v>
      </c>
      <c r="M254" s="5">
        <f>AVERAGE(All_India_Index_Upto_April23__1___1[[#This Row],[Personal care and effects]])</f>
        <v>142.1</v>
      </c>
      <c r="N254" s="5">
        <f>AVERAGE(All_India_Index_Upto_April23__1___1[[#This Row],[Miscellaneous]])</f>
        <v>138.4</v>
      </c>
      <c r="O254" s="5">
        <f>AVERAGE(All_India_Index_Upto_April23__1___1[[#This Row],[General index]])</f>
        <v>148.19999999999999</v>
      </c>
      <c r="P254" s="2">
        <f t="shared" si="43"/>
        <v>1296.6961538461537</v>
      </c>
      <c r="R254" s="10">
        <f t="shared" si="44"/>
        <v>11.54057204552398</v>
      </c>
      <c r="S254" s="10">
        <f t="shared" si="45"/>
        <v>13.171936964059549</v>
      </c>
      <c r="T254" s="10">
        <f t="shared" si="46"/>
        <v>10.927772059761349</v>
      </c>
      <c r="U254" s="10">
        <f t="shared" si="47"/>
        <v>10.41878620517825</v>
      </c>
      <c r="V254" s="10">
        <f t="shared" si="48"/>
        <v>10.947051826980402</v>
      </c>
      <c r="W254" s="10">
        <f t="shared" si="49"/>
        <v>9.7247145852922081</v>
      </c>
      <c r="X254" s="10">
        <f t="shared" si="50"/>
        <v>10.580736249818326</v>
      </c>
      <c r="Y254" s="10">
        <f t="shared" si="51"/>
        <v>11.729810376074107</v>
      </c>
      <c r="Z254" s="10">
        <f t="shared" si="52"/>
        <v>10.958619687311838</v>
      </c>
    </row>
    <row r="255" spans="1:26" hidden="1" x14ac:dyDescent="0.3">
      <c r="A255" s="5" t="s">
        <v>34</v>
      </c>
      <c r="B255" s="5">
        <v>2020</v>
      </c>
      <c r="C255" s="5" t="s">
        <v>31</v>
      </c>
      <c r="D255" s="21">
        <f t="shared" si="42"/>
        <v>43831</v>
      </c>
      <c r="E255" s="4">
        <f>AVERAGE(All_India_Index_Upto_April23__1___1[[#This Row],[Cereals and products]:[Food and beverages]])</f>
        <v>149.26153846153846</v>
      </c>
      <c r="F255" s="5">
        <f>AVERAGE(All_India_Index_Upto_April23__1___1[[#This Row],[Pan, tobacco and intoxicants]])</f>
        <v>169.2</v>
      </c>
      <c r="G255" s="4">
        <f>AVERAGE(All_India_Index_Upto_April23__1___1[[#This Row],[Clothing]:[Clothing and footwear]])</f>
        <v>147.06666666666666</v>
      </c>
      <c r="H255" s="5">
        <f>AVERAGE(All_India_Index_Upto_April23__1___1[[#This Row],[Housing]:[Fuel and light]])</f>
        <v>144.6</v>
      </c>
      <c r="I255" s="5">
        <f>AVERAGE(All_India_Index_Upto_April23__1___1[[#This Row],[Household goods and services]:[Health]])</f>
        <v>148.69999999999999</v>
      </c>
      <c r="J255" s="5">
        <f>AVERAGE(All_India_Index_Upto_April23__1___1[[#This Row],[Transport and communication]])</f>
        <v>130.9</v>
      </c>
      <c r="K255" s="5">
        <f>AVERAGE(All_India_Index_Upto_April23__1___1[[#This Row],[Recreation and amusement]])</f>
        <v>142.80000000000001</v>
      </c>
      <c r="L255" s="5">
        <f>AVERAGE(All_India_Index_Upto_April23__1___1[[#This Row],[Education]])</f>
        <v>156.1</v>
      </c>
      <c r="M255" s="5">
        <f>AVERAGE(All_India_Index_Upto_April23__1___1[[#This Row],[Personal care and effects]])</f>
        <v>142.30000000000001</v>
      </c>
      <c r="N255" s="5">
        <f>AVERAGE(All_India_Index_Upto_April23__1___1[[#This Row],[Miscellaneous]])</f>
        <v>143.4</v>
      </c>
      <c r="O255" s="5">
        <f>AVERAGE(All_India_Index_Upto_April23__1___1[[#This Row],[General index]])</f>
        <v>150.19999999999999</v>
      </c>
      <c r="P255" s="2">
        <f>AVERAGE(E255:N255)</f>
        <v>147.43282051282051</v>
      </c>
      <c r="R255" s="10">
        <f t="shared" si="44"/>
        <v>101.24037371214705</v>
      </c>
      <c r="S255" s="10">
        <f t="shared" si="45"/>
        <v>114.76413420801825</v>
      </c>
      <c r="T255" s="10">
        <f t="shared" si="46"/>
        <v>99.751646990893718</v>
      </c>
      <c r="U255" s="10">
        <f t="shared" si="47"/>
        <v>98.078568596214183</v>
      </c>
      <c r="V255" s="10">
        <f t="shared" si="48"/>
        <v>100.8594961981815</v>
      </c>
      <c r="W255" s="10">
        <f t="shared" si="49"/>
        <v>88.786200755494022</v>
      </c>
      <c r="X255" s="10">
        <f t="shared" si="50"/>
        <v>96.857673551448045</v>
      </c>
      <c r="Y255" s="10">
        <f t="shared" si="51"/>
        <v>105.87873138222015</v>
      </c>
      <c r="Z255" s="10">
        <f t="shared" si="52"/>
        <v>96.518536039012986</v>
      </c>
    </row>
    <row r="256" spans="1:26" hidden="1" x14ac:dyDescent="0.3">
      <c r="A256" s="6" t="s">
        <v>30</v>
      </c>
      <c r="B256" s="6">
        <v>2020</v>
      </c>
      <c r="C256" s="6" t="s">
        <v>35</v>
      </c>
      <c r="D256" s="21">
        <f t="shared" si="42"/>
        <v>43862</v>
      </c>
      <c r="E256" s="4">
        <f>AVERAGE(All_India_Index_Upto_April23__1___1[[#This Row],[Cereals and products]:[Food and beverages]])</f>
        <v>146.90769230769229</v>
      </c>
      <c r="F256" s="5">
        <f>AVERAGE(All_India_Index_Upto_April23__1___1[[#This Row],[Pan, tobacco and intoxicants]])</f>
        <v>169.4</v>
      </c>
      <c r="G256" s="4">
        <f>AVERAGE(All_India_Index_Upto_April23__1___1[[#This Row],[Clothing]:[Clothing and footwear]])</f>
        <v>150.93333333333334</v>
      </c>
      <c r="H256" s="5">
        <f>AVERAGE(All_India_Index_Upto_April23__1___1[[#This Row],[Housing]:[Fuel and light]])</f>
        <v>152.30000000000001</v>
      </c>
      <c r="I256" s="5">
        <f>AVERAGE(All_India_Index_Upto_April23__1___1[[#This Row],[Household goods and services]:[Health]])</f>
        <v>154</v>
      </c>
      <c r="J256" s="5">
        <f>AVERAGE(All_India_Index_Upto_April23__1___1[[#This Row],[Transport and communication]])</f>
        <v>136</v>
      </c>
      <c r="K256" s="5">
        <f>AVERAGE(All_India_Index_Upto_April23__1___1[[#This Row],[Recreation and amusement]])</f>
        <v>150.4</v>
      </c>
      <c r="L256" s="5">
        <f>AVERAGE(All_India_Index_Upto_April23__1___1[[#This Row],[Education]])</f>
        <v>161.9</v>
      </c>
      <c r="M256" s="5">
        <f>AVERAGE(All_India_Index_Upto_April23__1___1[[#This Row],[Personal care and effects]])</f>
        <v>143.4</v>
      </c>
      <c r="N256" s="5">
        <f>AVERAGE(All_India_Index_Upto_April23__1___1[[#This Row],[Miscellaneous]])</f>
        <v>148.4</v>
      </c>
      <c r="O256" s="5">
        <f>AVERAGE(All_India_Index_Upto_April23__1___1[[#This Row],[General index]])</f>
        <v>150.4</v>
      </c>
      <c r="P256" s="2">
        <f t="shared" si="43"/>
        <v>1365.2410256410258</v>
      </c>
      <c r="R256" s="10">
        <f t="shared" si="44"/>
        <v>10.760568247552792</v>
      </c>
      <c r="S256" s="10">
        <f t="shared" si="45"/>
        <v>12.408065449136434</v>
      </c>
      <c r="T256" s="10">
        <f t="shared" si="46"/>
        <v>11.055434937758712</v>
      </c>
      <c r="U256" s="10">
        <f t="shared" si="47"/>
        <v>11.155539361885944</v>
      </c>
      <c r="V256" s="10">
        <f t="shared" si="48"/>
        <v>11.280059499214939</v>
      </c>
      <c r="W256" s="10">
        <f t="shared" si="49"/>
        <v>9.9616109863196876</v>
      </c>
      <c r="X256" s="10">
        <f t="shared" si="50"/>
        <v>11.016369796635891</v>
      </c>
      <c r="Y256" s="10">
        <f t="shared" si="51"/>
        <v>11.858711902096745</v>
      </c>
      <c r="Z256" s="10">
        <f t="shared" si="52"/>
        <v>10.503639819398847</v>
      </c>
    </row>
    <row r="257" spans="1:26" hidden="1" x14ac:dyDescent="0.3">
      <c r="A257" s="5" t="s">
        <v>32</v>
      </c>
      <c r="B257" s="5">
        <v>2020</v>
      </c>
      <c r="C257" s="5" t="s">
        <v>35</v>
      </c>
      <c r="D257" s="21">
        <f t="shared" si="42"/>
        <v>43862</v>
      </c>
      <c r="E257" s="4">
        <f>AVERAGE(All_India_Index_Upto_April23__1___1[[#This Row],[Cereals and products]:[Food and beverages]])</f>
        <v>147.43076923076922</v>
      </c>
      <c r="F257" s="5">
        <f>AVERAGE(All_India_Index_Upto_April23__1___1[[#This Row],[Pan, tobacco and intoxicants]])</f>
        <v>172</v>
      </c>
      <c r="G257" s="4">
        <f>AVERAGE(All_India_Index_Upto_April23__1___1[[#This Row],[Clothing]:[Clothing and footwear]])</f>
        <v>142</v>
      </c>
      <c r="H257" s="5">
        <f>AVERAGE(All_India_Index_Upto_April23__1___1[[#This Row],[Housing]:[Fuel and light]])</f>
        <v>138.9</v>
      </c>
      <c r="I257" s="5">
        <f>AVERAGE(All_India_Index_Upto_April23__1___1[[#This Row],[Household goods and services]:[Health]])</f>
        <v>142.4</v>
      </c>
      <c r="J257" s="5">
        <f>AVERAGE(All_India_Index_Upto_April23__1___1[[#This Row],[Transport and communication]])</f>
        <v>125.2</v>
      </c>
      <c r="K257" s="5">
        <f>AVERAGE(All_India_Index_Upto_April23__1___1[[#This Row],[Recreation and amusement]])</f>
        <v>137.69999999999999</v>
      </c>
      <c r="L257" s="5">
        <f>AVERAGE(All_India_Index_Upto_April23__1___1[[#This Row],[Education]])</f>
        <v>152.19999999999999</v>
      </c>
      <c r="M257" s="5">
        <f>AVERAGE(All_India_Index_Upto_April23__1___1[[#This Row],[Personal care and effects]])</f>
        <v>143.5</v>
      </c>
      <c r="N257" s="5">
        <f>AVERAGE(All_India_Index_Upto_April23__1___1[[#This Row],[Miscellaneous]])</f>
        <v>138.4</v>
      </c>
      <c r="O257" s="5">
        <f>AVERAGE(All_India_Index_Upto_April23__1___1[[#This Row],[General index]])</f>
        <v>147.69999999999999</v>
      </c>
      <c r="P257" s="2">
        <f t="shared" si="43"/>
        <v>1301.3307692307692</v>
      </c>
      <c r="R257" s="10">
        <f t="shared" si="44"/>
        <v>11.329231023863146</v>
      </c>
      <c r="S257" s="10">
        <f t="shared" si="45"/>
        <v>13.217239157548782</v>
      </c>
      <c r="T257" s="10">
        <f t="shared" si="46"/>
        <v>10.911906746348413</v>
      </c>
      <c r="U257" s="10">
        <f t="shared" si="47"/>
        <v>10.673689063857708</v>
      </c>
      <c r="V257" s="10">
        <f t="shared" si="48"/>
        <v>10.942644511831084</v>
      </c>
      <c r="W257" s="10">
        <f t="shared" si="49"/>
        <v>9.6209205960762052</v>
      </c>
      <c r="X257" s="10">
        <f t="shared" si="50"/>
        <v>10.581475767409692</v>
      </c>
      <c r="Y257" s="10">
        <f t="shared" si="51"/>
        <v>11.695719766156538</v>
      </c>
      <c r="Z257" s="10">
        <f t="shared" si="52"/>
        <v>11.027173366908432</v>
      </c>
    </row>
    <row r="258" spans="1:26" hidden="1" x14ac:dyDescent="0.3">
      <c r="A258" s="6" t="s">
        <v>34</v>
      </c>
      <c r="B258" s="6">
        <v>2020</v>
      </c>
      <c r="C258" s="6" t="s">
        <v>35</v>
      </c>
      <c r="D258" s="21">
        <f t="shared" si="42"/>
        <v>43862</v>
      </c>
      <c r="E258" s="4">
        <f>AVERAGE(All_India_Index_Upto_April23__1___1[[#This Row],[Cereals and products]:[Food and beverages]])</f>
        <v>147.04615384615383</v>
      </c>
      <c r="F258" s="5">
        <f>AVERAGE(All_India_Index_Upto_April23__1___1[[#This Row],[Pan, tobacco and intoxicants]])</f>
        <v>170.1</v>
      </c>
      <c r="G258" s="4">
        <f>AVERAGE(All_India_Index_Upto_April23__1___1[[#This Row],[Clothing]:[Clothing and footwear]])</f>
        <v>147.33333333333334</v>
      </c>
      <c r="H258" s="5">
        <f>AVERAGE(All_India_Index_Upto_April23__1___1[[#This Row],[Housing]:[Fuel and light]])</f>
        <v>147.19999999999999</v>
      </c>
      <c r="I258" s="5">
        <f>AVERAGE(All_India_Index_Upto_April23__1___1[[#This Row],[Household goods and services]:[Health]])</f>
        <v>149.05000000000001</v>
      </c>
      <c r="J258" s="5">
        <f>AVERAGE(All_India_Index_Upto_April23__1___1[[#This Row],[Transport and communication]])</f>
        <v>130.30000000000001</v>
      </c>
      <c r="K258" s="5">
        <f>AVERAGE(All_India_Index_Upto_April23__1___1[[#This Row],[Recreation and amusement]])</f>
        <v>143.19999999999999</v>
      </c>
      <c r="L258" s="5">
        <f>AVERAGE(All_India_Index_Upto_April23__1___1[[#This Row],[Education]])</f>
        <v>156.19999999999999</v>
      </c>
      <c r="M258" s="5">
        <f>AVERAGE(All_India_Index_Upto_April23__1___1[[#This Row],[Personal care and effects]])</f>
        <v>143.4</v>
      </c>
      <c r="N258" s="5">
        <f>AVERAGE(All_India_Index_Upto_April23__1___1[[#This Row],[Miscellaneous]])</f>
        <v>143.6</v>
      </c>
      <c r="O258" s="5">
        <f>AVERAGE(All_India_Index_Upto_April23__1___1[[#This Row],[General index]])</f>
        <v>149.1</v>
      </c>
      <c r="P258" s="2">
        <f>AVERAGE(E258:N258)</f>
        <v>147.74294871794871</v>
      </c>
      <c r="R258" s="10">
        <f t="shared" si="44"/>
        <v>99.528373517760841</v>
      </c>
      <c r="S258" s="10">
        <f t="shared" si="45"/>
        <v>115.1323981794437</v>
      </c>
      <c r="T258" s="10">
        <f t="shared" si="46"/>
        <v>99.722751313568708</v>
      </c>
      <c r="U258" s="10">
        <f t="shared" si="47"/>
        <v>99.632504479800758</v>
      </c>
      <c r="V258" s="10">
        <f t="shared" si="48"/>
        <v>100.88467929833089</v>
      </c>
      <c r="W258" s="10">
        <f t="shared" si="49"/>
        <v>88.193718299714945</v>
      </c>
      <c r="X258" s="10">
        <f t="shared" si="50"/>
        <v>96.925099466762703</v>
      </c>
      <c r="Y258" s="10">
        <f t="shared" si="51"/>
        <v>105.72416575913641</v>
      </c>
      <c r="Z258" s="10">
        <f t="shared" si="52"/>
        <v>97.060469717414605</v>
      </c>
    </row>
    <row r="259" spans="1:26" hidden="1" x14ac:dyDescent="0.3">
      <c r="A259" s="5" t="s">
        <v>30</v>
      </c>
      <c r="B259" s="5">
        <v>2020</v>
      </c>
      <c r="C259" s="5" t="s">
        <v>37</v>
      </c>
      <c r="D259" s="21">
        <f t="shared" si="42"/>
        <v>43891</v>
      </c>
      <c r="E259" s="4">
        <f>AVERAGE(All_India_Index_Upto_April23__1___1[[#This Row],[Cereals and products]:[Food and beverages]])</f>
        <v>145.73846153846151</v>
      </c>
      <c r="F259" s="5">
        <f>AVERAGE(All_India_Index_Upto_April23__1___1[[#This Row],[Pan, tobacco and intoxicants]])</f>
        <v>170.5</v>
      </c>
      <c r="G259" s="4">
        <f>AVERAGE(All_India_Index_Upto_April23__1___1[[#This Row],[Clothing]:[Clothing and footwear]])</f>
        <v>151.16666666666666</v>
      </c>
      <c r="H259" s="5">
        <f>AVERAGE(All_India_Index_Upto_April23__1___1[[#This Row],[Housing]:[Fuel and light]])</f>
        <v>153.4</v>
      </c>
      <c r="I259" s="5">
        <f>AVERAGE(All_India_Index_Upto_April23__1___1[[#This Row],[Household goods and services]:[Health]])</f>
        <v>154.1</v>
      </c>
      <c r="J259" s="5">
        <f>AVERAGE(All_India_Index_Upto_April23__1___1[[#This Row],[Transport and communication]])</f>
        <v>135.80000000000001</v>
      </c>
      <c r="K259" s="5">
        <f>AVERAGE(All_India_Index_Upto_April23__1___1[[#This Row],[Recreation and amusement]])</f>
        <v>151.19999999999999</v>
      </c>
      <c r="L259" s="5">
        <f>AVERAGE(All_India_Index_Upto_April23__1___1[[#This Row],[Education]])</f>
        <v>161.19999999999999</v>
      </c>
      <c r="M259" s="5">
        <f>AVERAGE(All_India_Index_Upto_April23__1___1[[#This Row],[Personal care and effects]])</f>
        <v>145.1</v>
      </c>
      <c r="N259" s="5">
        <f>AVERAGE(All_India_Index_Upto_April23__1___1[[#This Row],[Miscellaneous]])</f>
        <v>148.6</v>
      </c>
      <c r="O259" s="5">
        <f>AVERAGE(All_India_Index_Upto_April23__1___1[[#This Row],[General index]])</f>
        <v>149.80000000000001</v>
      </c>
      <c r="P259" s="2">
        <f t="shared" si="43"/>
        <v>1368.2051282051282</v>
      </c>
      <c r="R259" s="10">
        <f t="shared" si="44"/>
        <v>10.651799100449773</v>
      </c>
      <c r="S259" s="10">
        <f t="shared" si="45"/>
        <v>12.461581709145428</v>
      </c>
      <c r="T259" s="10">
        <f t="shared" si="46"/>
        <v>11.048538230884557</v>
      </c>
      <c r="U259" s="10">
        <f t="shared" si="47"/>
        <v>11.21176911544228</v>
      </c>
      <c r="V259" s="10">
        <f t="shared" si="48"/>
        <v>11.262931034482758</v>
      </c>
      <c r="W259" s="10">
        <f t="shared" si="49"/>
        <v>9.9254122938530731</v>
      </c>
      <c r="X259" s="10">
        <f t="shared" si="50"/>
        <v>11.050974512743627</v>
      </c>
      <c r="Y259" s="10">
        <f t="shared" si="51"/>
        <v>11.781859070464767</v>
      </c>
      <c r="Z259" s="10">
        <f t="shared" si="52"/>
        <v>10.605134932533733</v>
      </c>
    </row>
    <row r="260" spans="1:26" hidden="1" x14ac:dyDescent="0.3">
      <c r="A260" s="6" t="s">
        <v>32</v>
      </c>
      <c r="B260" s="6">
        <v>2020</v>
      </c>
      <c r="C260" s="6" t="s">
        <v>37</v>
      </c>
      <c r="D260" s="21">
        <f t="shared" si="42"/>
        <v>43891</v>
      </c>
      <c r="E260" s="4">
        <f>AVERAGE(All_India_Index_Upto_April23__1___1[[#This Row],[Cereals and products]:[Food and beverages]])</f>
        <v>146.03846153846155</v>
      </c>
      <c r="F260" s="5">
        <f>AVERAGE(All_India_Index_Upto_April23__1___1[[#This Row],[Pan, tobacco and intoxicants]])</f>
        <v>173.3</v>
      </c>
      <c r="G260" s="4">
        <f>AVERAGE(All_India_Index_Upto_April23__1___1[[#This Row],[Clothing]:[Clothing and footwear]])</f>
        <v>142.36666666666667</v>
      </c>
      <c r="H260" s="5">
        <f>AVERAGE(All_India_Index_Upto_April23__1___1[[#This Row],[Housing]:[Fuel and light]])</f>
        <v>141.4</v>
      </c>
      <c r="I260" s="5">
        <f>AVERAGE(All_India_Index_Upto_April23__1___1[[#This Row],[Household goods and services]:[Health]])</f>
        <v>142.9</v>
      </c>
      <c r="J260" s="5">
        <f>AVERAGE(All_India_Index_Upto_April23__1___1[[#This Row],[Transport and communication]])</f>
        <v>124.6</v>
      </c>
      <c r="K260" s="5">
        <f>AVERAGE(All_India_Index_Upto_April23__1___1[[#This Row],[Recreation and amusement]])</f>
        <v>137.9</v>
      </c>
      <c r="L260" s="5">
        <f>AVERAGE(All_India_Index_Upto_April23__1___1[[#This Row],[Education]])</f>
        <v>152.5</v>
      </c>
      <c r="M260" s="5">
        <f>AVERAGE(All_India_Index_Upto_April23__1___1[[#This Row],[Personal care and effects]])</f>
        <v>145.30000000000001</v>
      </c>
      <c r="N260" s="5">
        <f>AVERAGE(All_India_Index_Upto_April23__1___1[[#This Row],[Miscellaneous]])</f>
        <v>138.69999999999999</v>
      </c>
      <c r="O260" s="5">
        <f>AVERAGE(All_India_Index_Upto_April23__1___1[[#This Row],[General index]])</f>
        <v>147.30000000000001</v>
      </c>
      <c r="P260" s="2">
        <f t="shared" si="43"/>
        <v>1306.3051282051281</v>
      </c>
      <c r="R260" s="10">
        <f t="shared" si="44"/>
        <v>11.179506103533358</v>
      </c>
      <c r="S260" s="10">
        <f t="shared" si="45"/>
        <v>13.266425757519254</v>
      </c>
      <c r="T260" s="10">
        <f t="shared" si="46"/>
        <v>10.898423621920509</v>
      </c>
      <c r="U260" s="10">
        <f t="shared" si="47"/>
        <v>10.824423555183049</v>
      </c>
      <c r="V260" s="10">
        <f t="shared" si="48"/>
        <v>10.939251244948075</v>
      </c>
      <c r="W260" s="10">
        <f t="shared" si="49"/>
        <v>9.5383534298147659</v>
      </c>
      <c r="X260" s="10">
        <f t="shared" si="50"/>
        <v>10.556492279064656</v>
      </c>
      <c r="Y260" s="10">
        <f t="shared" si="51"/>
        <v>11.674148459444234</v>
      </c>
      <c r="Z260" s="10">
        <f t="shared" si="52"/>
        <v>11.122975548572114</v>
      </c>
    </row>
    <row r="261" spans="1:26" hidden="1" x14ac:dyDescent="0.3">
      <c r="A261" s="5" t="s">
        <v>34</v>
      </c>
      <c r="B261" s="5">
        <v>2020</v>
      </c>
      <c r="C261" s="5" t="s">
        <v>37</v>
      </c>
      <c r="D261" s="21">
        <f t="shared" ref="D261:D324" si="53">DATE(B261,MONTH(1&amp;C261),1)</f>
        <v>43891</v>
      </c>
      <c r="E261" s="4">
        <f>AVERAGE(All_India_Index_Upto_April23__1___1[[#This Row],[Cereals and products]:[Food and beverages]])</f>
        <v>145.80000000000001</v>
      </c>
      <c r="F261" s="5">
        <f>AVERAGE(All_India_Index_Upto_April23__1___1[[#This Row],[Pan, tobacco and intoxicants]])</f>
        <v>171.2</v>
      </c>
      <c r="G261" s="4">
        <f>AVERAGE(All_India_Index_Upto_April23__1___1[[#This Row],[Clothing]:[Clothing and footwear]])</f>
        <v>147.63333333333335</v>
      </c>
      <c r="H261" s="5">
        <f>AVERAGE(All_India_Index_Upto_April23__1___1[[#This Row],[Housing]:[Fuel and light]])</f>
        <v>148.9</v>
      </c>
      <c r="I261" s="5">
        <f>AVERAGE(All_India_Index_Upto_April23__1___1[[#This Row],[Household goods and services]:[Health]])</f>
        <v>149.35000000000002</v>
      </c>
      <c r="J261" s="5">
        <f>AVERAGE(All_India_Index_Upto_April23__1___1[[#This Row],[Transport and communication]])</f>
        <v>129.9</v>
      </c>
      <c r="K261" s="5">
        <f>AVERAGE(All_India_Index_Upto_April23__1___1[[#This Row],[Recreation and amusement]])</f>
        <v>143.69999999999999</v>
      </c>
      <c r="L261" s="5">
        <f>AVERAGE(All_India_Index_Upto_April23__1___1[[#This Row],[Education]])</f>
        <v>156.1</v>
      </c>
      <c r="M261" s="5">
        <f>AVERAGE(All_India_Index_Upto_April23__1___1[[#This Row],[Personal care and effects]])</f>
        <v>145.19999999999999</v>
      </c>
      <c r="N261" s="5">
        <f>AVERAGE(All_India_Index_Upto_April23__1___1[[#This Row],[Miscellaneous]])</f>
        <v>143.80000000000001</v>
      </c>
      <c r="O261" s="5">
        <f>AVERAGE(All_India_Index_Upto_April23__1___1[[#This Row],[General index]])</f>
        <v>148.6</v>
      </c>
      <c r="P261" s="2">
        <f>AVERAGE(E261:N261)</f>
        <v>148.15833333333333</v>
      </c>
      <c r="R261" s="10">
        <f t="shared" ref="R261:R324" si="54">E261/P261*100</f>
        <v>98.408234433882683</v>
      </c>
      <c r="S261" s="10">
        <f t="shared" ref="S261:S324" si="55">F261/P261*100</f>
        <v>115.55205579616401</v>
      </c>
      <c r="T261" s="10">
        <f t="shared" ref="T261:T324" si="56">G261/P261*100</f>
        <v>99.645649361606402</v>
      </c>
      <c r="U261" s="10">
        <f t="shared" ref="U261:U324" si="57">H261/P261*100</f>
        <v>100.50059058439733</v>
      </c>
      <c r="V261" s="10">
        <f t="shared" ref="V261:V324" si="58">I261/P261*100</f>
        <v>100.80431970302044</v>
      </c>
      <c r="W261" s="10">
        <f t="shared" ref="W261:W324" si="59">J261/P261*100</f>
        <v>87.676472242533336</v>
      </c>
      <c r="X261" s="10">
        <f t="shared" ref="X261:X324" si="60">K261/P261*100</f>
        <v>96.990831880308221</v>
      </c>
      <c r="Y261" s="10">
        <f t="shared" ref="Y261:Y324" si="61">L261/P261*100</f>
        <v>105.36025648236685</v>
      </c>
      <c r="Z261" s="10">
        <f t="shared" ref="Z261:Z324" si="62">M261/P261*100</f>
        <v>98.003262275718541</v>
      </c>
    </row>
    <row r="262" spans="1:26" hidden="1" x14ac:dyDescent="0.3">
      <c r="A262" s="6" t="s">
        <v>30</v>
      </c>
      <c r="B262" s="6">
        <v>2020</v>
      </c>
      <c r="C262" s="6" t="s">
        <v>38</v>
      </c>
      <c r="D262" s="21">
        <f t="shared" si="53"/>
        <v>43922</v>
      </c>
      <c r="E262" s="4">
        <f>AVERAGE(All_India_Index_Upto_April23__1___1[[#This Row],[Cereals and products]:[Food and beverages]])</f>
        <v>147.3153846153846</v>
      </c>
      <c r="F262" s="5">
        <f>AVERAGE(All_India_Index_Upto_April23__1___1[[#This Row],[Pan, tobacco and intoxicants]])</f>
        <v>152.80000000000001</v>
      </c>
      <c r="G262" s="4">
        <f>AVERAGE(All_India_Index_Upto_April23__1___1[[#This Row],[Clothing]:[Clothing and footwear]])</f>
        <v>137.63333333333335</v>
      </c>
      <c r="H262" s="5">
        <f>AVERAGE(All_India_Index_Upto_April23__1___1[[#This Row],[Housing]:[Fuel and light]])</f>
        <v>148.4</v>
      </c>
      <c r="I262" s="5">
        <f>AVERAGE(All_India_Index_Upto_April23__1___1[[#This Row],[Household goods and services]:[Health]])</f>
        <v>144.35000000000002</v>
      </c>
      <c r="J262" s="5">
        <f>AVERAGE(All_India_Index_Upto_April23__1___1[[#This Row],[Transport and communication]])</f>
        <v>125.1</v>
      </c>
      <c r="K262" s="5">
        <f>AVERAGE(All_India_Index_Upto_April23__1___1[[#This Row],[Recreation and amusement]])</f>
        <v>131.69999999999999</v>
      </c>
      <c r="L262" s="5">
        <f>AVERAGE(All_India_Index_Upto_April23__1___1[[#This Row],[Education]])</f>
        <v>138.80000000000001</v>
      </c>
      <c r="M262" s="5">
        <f>AVERAGE(All_India_Index_Upto_April23__1___1[[#This Row],[Personal care and effects]])</f>
        <v>131.1</v>
      </c>
      <c r="N262" s="5">
        <f>AVERAGE(All_India_Index_Upto_April23__1___1[[#This Row],[Miscellaneous]])</f>
        <v>132</v>
      </c>
      <c r="O262" s="5">
        <f>AVERAGE(All_India_Index_Upto_April23__1___1[[#This Row],[General index]])</f>
        <v>137.30000000000001</v>
      </c>
      <c r="P262" s="2">
        <f t="shared" ref="P262:P323" si="63">SUM(E262:M262)</f>
        <v>1257.1987179487178</v>
      </c>
      <c r="R262" s="10">
        <f t="shared" si="54"/>
        <v>11.717748555753278</v>
      </c>
      <c r="S262" s="10">
        <f t="shared" si="55"/>
        <v>12.154005394573817</v>
      </c>
      <c r="T262" s="10">
        <f t="shared" si="56"/>
        <v>10.947619606063546</v>
      </c>
      <c r="U262" s="10">
        <f t="shared" si="57"/>
        <v>11.804020946038968</v>
      </c>
      <c r="V262" s="10">
        <f t="shared" si="58"/>
        <v>11.481876169546664</v>
      </c>
      <c r="W262" s="10">
        <f t="shared" si="59"/>
        <v>9.9506942072067037</v>
      </c>
      <c r="X262" s="10">
        <f t="shared" si="60"/>
        <v>10.475670880008975</v>
      </c>
      <c r="Y262" s="10">
        <f t="shared" si="61"/>
        <v>11.040418512872026</v>
      </c>
      <c r="Z262" s="10">
        <f t="shared" si="62"/>
        <v>10.427945727936041</v>
      </c>
    </row>
    <row r="263" spans="1:26" hidden="1" x14ac:dyDescent="0.3">
      <c r="A263" s="5" t="s">
        <v>32</v>
      </c>
      <c r="B263" s="5">
        <v>2020</v>
      </c>
      <c r="C263" s="5" t="s">
        <v>38</v>
      </c>
      <c r="D263" s="21">
        <f t="shared" si="53"/>
        <v>43922</v>
      </c>
      <c r="E263" s="4">
        <f>AVERAGE(All_India_Index_Upto_April23__1___1[[#This Row],[Cereals and products]:[Food and beverages]])</f>
        <v>149</v>
      </c>
      <c r="F263" s="5">
        <f>AVERAGE(All_India_Index_Upto_April23__1___1[[#This Row],[Pan, tobacco and intoxicants]])</f>
        <v>152.80000000000001</v>
      </c>
      <c r="G263" s="4">
        <f>AVERAGE(All_India_Index_Upto_April23__1___1[[#This Row],[Clothing]:[Clothing and footwear]])</f>
        <v>137.63333333333335</v>
      </c>
      <c r="H263" s="5">
        <f>AVERAGE(All_India_Index_Upto_April23__1___1[[#This Row],[Housing]:[Fuel and light]])</f>
        <v>137.1</v>
      </c>
      <c r="I263" s="5">
        <f>AVERAGE(All_India_Index_Upto_April23__1___1[[#This Row],[Household goods and services]:[Health]])</f>
        <v>139.60000000000002</v>
      </c>
      <c r="J263" s="5">
        <f>AVERAGE(All_India_Index_Upto_April23__1___1[[#This Row],[Transport and communication]])</f>
        <v>125.1</v>
      </c>
      <c r="K263" s="5">
        <f>AVERAGE(All_India_Index_Upto_April23__1___1[[#This Row],[Recreation and amusement]])</f>
        <v>131.69999999999999</v>
      </c>
      <c r="L263" s="5">
        <f>AVERAGE(All_India_Index_Upto_April23__1___1[[#This Row],[Education]])</f>
        <v>138.80000000000001</v>
      </c>
      <c r="M263" s="5">
        <f>AVERAGE(All_India_Index_Upto_April23__1___1[[#This Row],[Personal care and effects]])</f>
        <v>131.1</v>
      </c>
      <c r="N263" s="5">
        <f>AVERAGE(All_India_Index_Upto_April23__1___1[[#This Row],[Miscellaneous]])</f>
        <v>132</v>
      </c>
      <c r="O263" s="5">
        <f>AVERAGE(All_India_Index_Upto_April23__1___1[[#This Row],[General index]])</f>
        <v>137.30000000000001</v>
      </c>
      <c r="P263" s="2">
        <f t="shared" si="63"/>
        <v>1242.8333333333333</v>
      </c>
      <c r="R263" s="10">
        <f t="shared" si="54"/>
        <v>11.988735416387287</v>
      </c>
      <c r="S263" s="10">
        <f t="shared" si="55"/>
        <v>12.294488400160924</v>
      </c>
      <c r="T263" s="10">
        <f t="shared" si="56"/>
        <v>11.074158508783695</v>
      </c>
      <c r="U263" s="10">
        <f t="shared" si="57"/>
        <v>11.031245809306691</v>
      </c>
      <c r="V263" s="10">
        <f t="shared" si="58"/>
        <v>11.232399088105138</v>
      </c>
      <c r="W263" s="10">
        <f t="shared" si="59"/>
        <v>10.065710071074159</v>
      </c>
      <c r="X263" s="10">
        <f t="shared" si="60"/>
        <v>10.596754727102052</v>
      </c>
      <c r="Y263" s="10">
        <f t="shared" si="61"/>
        <v>11.168030038889636</v>
      </c>
      <c r="Z263" s="10">
        <f t="shared" si="62"/>
        <v>10.548477940190425</v>
      </c>
    </row>
    <row r="264" spans="1:26" hidden="1" x14ac:dyDescent="0.3">
      <c r="A264" s="6" t="s">
        <v>34</v>
      </c>
      <c r="B264" s="6">
        <v>2020</v>
      </c>
      <c r="C264" s="6" t="s">
        <v>38</v>
      </c>
      <c r="D264" s="21">
        <f t="shared" si="53"/>
        <v>43922</v>
      </c>
      <c r="E264" s="4">
        <f>AVERAGE(All_India_Index_Upto_April23__1___1[[#This Row],[Cereals and products]:[Food and beverages]])</f>
        <v>147.92307692307691</v>
      </c>
      <c r="F264" s="5">
        <f>AVERAGE(All_India_Index_Upto_April23__1___1[[#This Row],[Pan, tobacco and intoxicants]])</f>
        <v>152.80000000000001</v>
      </c>
      <c r="G264" s="4">
        <f>AVERAGE(All_India_Index_Upto_April23__1___1[[#This Row],[Clothing]:[Clothing and footwear]])</f>
        <v>137.63333333333335</v>
      </c>
      <c r="H264" s="5">
        <f>AVERAGE(All_India_Index_Upto_April23__1___1[[#This Row],[Housing]:[Fuel and light]])</f>
        <v>144.1</v>
      </c>
      <c r="I264" s="5">
        <f>AVERAGE(All_India_Index_Upto_April23__1___1[[#This Row],[Household goods and services]:[Health]])</f>
        <v>142.55000000000001</v>
      </c>
      <c r="J264" s="5">
        <f>AVERAGE(All_India_Index_Upto_April23__1___1[[#This Row],[Transport and communication]])</f>
        <v>125.1</v>
      </c>
      <c r="K264" s="5">
        <f>AVERAGE(All_India_Index_Upto_April23__1___1[[#This Row],[Recreation and amusement]])</f>
        <v>131.69999999999999</v>
      </c>
      <c r="L264" s="5">
        <f>AVERAGE(All_India_Index_Upto_April23__1___1[[#This Row],[Education]])</f>
        <v>138.80000000000001</v>
      </c>
      <c r="M264" s="5">
        <f>AVERAGE(All_India_Index_Upto_April23__1___1[[#This Row],[Personal care and effects]])</f>
        <v>131.1</v>
      </c>
      <c r="N264" s="5">
        <f>AVERAGE(All_India_Index_Upto_April23__1___1[[#This Row],[Miscellaneous]])</f>
        <v>132</v>
      </c>
      <c r="O264" s="5">
        <f>AVERAGE(All_India_Index_Upto_April23__1___1[[#This Row],[General index]])</f>
        <v>137.30000000000001</v>
      </c>
      <c r="P264" s="2">
        <f>AVERAGE(E264:N264)</f>
        <v>138.37064102564102</v>
      </c>
      <c r="R264" s="10">
        <f t="shared" si="54"/>
        <v>106.90351351025811</v>
      </c>
      <c r="S264" s="10">
        <f t="shared" si="55"/>
        <v>110.42804952510492</v>
      </c>
      <c r="T264" s="10">
        <f t="shared" si="56"/>
        <v>99.467150193969943</v>
      </c>
      <c r="U264" s="10">
        <f t="shared" si="57"/>
        <v>104.1405885901022</v>
      </c>
      <c r="V264" s="10">
        <f t="shared" si="58"/>
        <v>103.02040876834886</v>
      </c>
      <c r="W264" s="10">
        <f t="shared" si="59"/>
        <v>90.409352065383658</v>
      </c>
      <c r="X264" s="10">
        <f t="shared" si="60"/>
        <v>95.179150016075369</v>
      </c>
      <c r="Y264" s="10">
        <f t="shared" si="61"/>
        <v>100.31029629636494</v>
      </c>
      <c r="Z264" s="10">
        <f t="shared" si="62"/>
        <v>94.745532020557945</v>
      </c>
    </row>
    <row r="265" spans="1:26" hidden="1" x14ac:dyDescent="0.3">
      <c r="A265" s="5" t="s">
        <v>30</v>
      </c>
      <c r="B265" s="5">
        <v>2020</v>
      </c>
      <c r="C265" s="5" t="s">
        <v>40</v>
      </c>
      <c r="D265" s="21">
        <f t="shared" si="53"/>
        <v>43952</v>
      </c>
      <c r="E265" s="4">
        <f>AVERAGE(All_India_Index_Upto_April23__1___1[[#This Row],[Cereals and products]:[Food and beverages]])</f>
        <v>139.03076923076921</v>
      </c>
      <c r="F265" s="5">
        <f>AVERAGE(All_India_Index_Upto_April23__1___1[[#This Row],[Pan, tobacco and intoxicants]])</f>
        <v>152.80000000000001</v>
      </c>
      <c r="G265" s="4">
        <f>AVERAGE(All_India_Index_Upto_April23__1___1[[#This Row],[Clothing]:[Clothing and footwear]])</f>
        <v>137.63333333333335</v>
      </c>
      <c r="H265" s="5">
        <f>AVERAGE(All_India_Index_Upto_April23__1___1[[#This Row],[Housing]:[Fuel and light]])</f>
        <v>135.4</v>
      </c>
      <c r="I265" s="5">
        <f>AVERAGE(All_India_Index_Upto_April23__1___1[[#This Row],[Household goods and services]:[Health]])</f>
        <v>135.85000000000002</v>
      </c>
      <c r="J265" s="5">
        <f>AVERAGE(All_India_Index_Upto_April23__1___1[[#This Row],[Transport and communication]])</f>
        <v>125.1</v>
      </c>
      <c r="K265" s="5">
        <f>AVERAGE(All_India_Index_Upto_April23__1___1[[#This Row],[Recreation and amusement]])</f>
        <v>131.69999999999999</v>
      </c>
      <c r="L265" s="5">
        <f>AVERAGE(All_India_Index_Upto_April23__1___1[[#This Row],[Education]])</f>
        <v>138.80000000000001</v>
      </c>
      <c r="M265" s="5">
        <f>AVERAGE(All_India_Index_Upto_April23__1___1[[#This Row],[Personal care and effects]])</f>
        <v>131.1</v>
      </c>
      <c r="N265" s="5">
        <f>AVERAGE(All_India_Index_Upto_April23__1___1[[#This Row],[Miscellaneous]])</f>
        <v>132</v>
      </c>
      <c r="O265" s="5">
        <f>AVERAGE(All_India_Index_Upto_April23__1___1[[#This Row],[General index]])</f>
        <v>137.30000000000001</v>
      </c>
      <c r="P265" s="2">
        <f t="shared" si="63"/>
        <v>1227.4141025641024</v>
      </c>
      <c r="R265" s="10">
        <f t="shared" si="54"/>
        <v>11.327128223500939</v>
      </c>
      <c r="S265" s="10">
        <f t="shared" si="55"/>
        <v>12.44893631911158</v>
      </c>
      <c r="T265" s="10">
        <f t="shared" si="56"/>
        <v>11.213276191451072</v>
      </c>
      <c r="U265" s="10">
        <f t="shared" si="57"/>
        <v>11.031321842982383</v>
      </c>
      <c r="V265" s="10">
        <f t="shared" si="58"/>
        <v>11.067984286330553</v>
      </c>
      <c r="W265" s="10">
        <f t="shared" si="59"/>
        <v>10.192159250790958</v>
      </c>
      <c r="X265" s="10">
        <f t="shared" si="60"/>
        <v>10.729875086564103</v>
      </c>
      <c r="Y265" s="10">
        <f t="shared" si="61"/>
        <v>11.308326970501881</v>
      </c>
      <c r="Z265" s="10">
        <f t="shared" si="62"/>
        <v>10.680991828766544</v>
      </c>
    </row>
    <row r="266" spans="1:26" hidden="1" x14ac:dyDescent="0.3">
      <c r="A266" s="6" t="s">
        <v>32</v>
      </c>
      <c r="B266" s="6">
        <v>2020</v>
      </c>
      <c r="C266" s="6" t="s">
        <v>40</v>
      </c>
      <c r="D266" s="21">
        <f t="shared" si="53"/>
        <v>43952</v>
      </c>
      <c r="E266" s="4">
        <f>AVERAGE(All_India_Index_Upto_April23__1___1[[#This Row],[Cereals and products]:[Food and beverages]])</f>
        <v>139.03076923076921</v>
      </c>
      <c r="F266" s="5">
        <f>AVERAGE(All_India_Index_Upto_April23__1___1[[#This Row],[Pan, tobacco and intoxicants]])</f>
        <v>152.80000000000001</v>
      </c>
      <c r="G266" s="4">
        <f>AVERAGE(All_India_Index_Upto_April23__1___1[[#This Row],[Clothing]:[Clothing and footwear]])</f>
        <v>137.63333333333335</v>
      </c>
      <c r="H266" s="5">
        <f>AVERAGE(All_India_Index_Upto_April23__1___1[[#This Row],[Housing]:[Fuel and light]])</f>
        <v>135.4</v>
      </c>
      <c r="I266" s="5">
        <f>AVERAGE(All_India_Index_Upto_April23__1___1[[#This Row],[Household goods and services]:[Health]])</f>
        <v>135.85000000000002</v>
      </c>
      <c r="J266" s="5">
        <f>AVERAGE(All_India_Index_Upto_April23__1___1[[#This Row],[Transport and communication]])</f>
        <v>125.1</v>
      </c>
      <c r="K266" s="5">
        <f>AVERAGE(All_India_Index_Upto_April23__1___1[[#This Row],[Recreation and amusement]])</f>
        <v>131.69999999999999</v>
      </c>
      <c r="L266" s="5">
        <f>AVERAGE(All_India_Index_Upto_April23__1___1[[#This Row],[Education]])</f>
        <v>138.80000000000001</v>
      </c>
      <c r="M266" s="5">
        <f>AVERAGE(All_India_Index_Upto_April23__1___1[[#This Row],[Personal care and effects]])</f>
        <v>131.1</v>
      </c>
      <c r="N266" s="5">
        <f>AVERAGE(All_India_Index_Upto_April23__1___1[[#This Row],[Miscellaneous]])</f>
        <v>132</v>
      </c>
      <c r="O266" s="5">
        <f>AVERAGE(All_India_Index_Upto_April23__1___1[[#This Row],[General index]])</f>
        <v>137.30000000000001</v>
      </c>
      <c r="P266" s="2">
        <f t="shared" si="63"/>
        <v>1227.4141025641024</v>
      </c>
      <c r="R266" s="10">
        <f t="shared" si="54"/>
        <v>11.327128223500939</v>
      </c>
      <c r="S266" s="10">
        <f t="shared" si="55"/>
        <v>12.44893631911158</v>
      </c>
      <c r="T266" s="10">
        <f t="shared" si="56"/>
        <v>11.213276191451072</v>
      </c>
      <c r="U266" s="10">
        <f t="shared" si="57"/>
        <v>11.031321842982383</v>
      </c>
      <c r="V266" s="10">
        <f t="shared" si="58"/>
        <v>11.067984286330553</v>
      </c>
      <c r="W266" s="10">
        <f t="shared" si="59"/>
        <v>10.192159250790958</v>
      </c>
      <c r="X266" s="10">
        <f t="shared" si="60"/>
        <v>10.729875086564103</v>
      </c>
      <c r="Y266" s="10">
        <f t="shared" si="61"/>
        <v>11.308326970501881</v>
      </c>
      <c r="Z266" s="10">
        <f t="shared" si="62"/>
        <v>10.680991828766544</v>
      </c>
    </row>
    <row r="267" spans="1:26" hidden="1" x14ac:dyDescent="0.3">
      <c r="A267" s="5" t="s">
        <v>34</v>
      </c>
      <c r="B267" s="5">
        <v>2020</v>
      </c>
      <c r="C267" s="5" t="s">
        <v>40</v>
      </c>
      <c r="D267" s="21">
        <f t="shared" si="53"/>
        <v>43952</v>
      </c>
      <c r="E267" s="4">
        <f>AVERAGE(All_India_Index_Upto_April23__1___1[[#This Row],[Cereals and products]:[Food and beverages]])</f>
        <v>139.03076923076921</v>
      </c>
      <c r="F267" s="5">
        <f>AVERAGE(All_India_Index_Upto_April23__1___1[[#This Row],[Pan, tobacco and intoxicants]])</f>
        <v>152.80000000000001</v>
      </c>
      <c r="G267" s="4">
        <f>AVERAGE(All_India_Index_Upto_April23__1___1[[#This Row],[Clothing]:[Clothing and footwear]])</f>
        <v>137.63333333333335</v>
      </c>
      <c r="H267" s="5">
        <f>AVERAGE(All_India_Index_Upto_April23__1___1[[#This Row],[Housing]:[Fuel and light]])</f>
        <v>135.4</v>
      </c>
      <c r="I267" s="5">
        <f>AVERAGE(All_India_Index_Upto_April23__1___1[[#This Row],[Household goods and services]:[Health]])</f>
        <v>135.85000000000002</v>
      </c>
      <c r="J267" s="5">
        <f>AVERAGE(All_India_Index_Upto_April23__1___1[[#This Row],[Transport and communication]])</f>
        <v>125.1</v>
      </c>
      <c r="K267" s="5">
        <f>AVERAGE(All_India_Index_Upto_April23__1___1[[#This Row],[Recreation and amusement]])</f>
        <v>131.69999999999999</v>
      </c>
      <c r="L267" s="5">
        <f>AVERAGE(All_India_Index_Upto_April23__1___1[[#This Row],[Education]])</f>
        <v>138.80000000000001</v>
      </c>
      <c r="M267" s="5">
        <f>AVERAGE(All_India_Index_Upto_April23__1___1[[#This Row],[Personal care and effects]])</f>
        <v>131.1</v>
      </c>
      <c r="N267" s="5">
        <f>AVERAGE(All_India_Index_Upto_April23__1___1[[#This Row],[Miscellaneous]])</f>
        <v>132</v>
      </c>
      <c r="O267" s="5">
        <f>AVERAGE(All_India_Index_Upto_April23__1___1[[#This Row],[General index]])</f>
        <v>137.30000000000001</v>
      </c>
      <c r="P267" s="2">
        <f>AVERAGE(E267:N267)</f>
        <v>135.94141025641025</v>
      </c>
      <c r="R267" s="10">
        <f t="shared" si="54"/>
        <v>102.27256651856993</v>
      </c>
      <c r="S267" s="10">
        <f t="shared" si="55"/>
        <v>112.4013644641404</v>
      </c>
      <c r="T267" s="10">
        <f t="shared" si="56"/>
        <v>101.24459726711075</v>
      </c>
      <c r="U267" s="10">
        <f t="shared" si="57"/>
        <v>99.601732646888792</v>
      </c>
      <c r="V267" s="10">
        <f t="shared" si="58"/>
        <v>99.932757607679804</v>
      </c>
      <c r="W267" s="10">
        <f t="shared" si="59"/>
        <v>92.024939099895036</v>
      </c>
      <c r="X267" s="10">
        <f t="shared" si="60"/>
        <v>96.879971858162875</v>
      </c>
      <c r="Y267" s="10">
        <f t="shared" si="61"/>
        <v>102.10281012842073</v>
      </c>
      <c r="Z267" s="10">
        <f t="shared" si="62"/>
        <v>96.438605243774887</v>
      </c>
    </row>
    <row r="268" spans="1:26" hidden="1" x14ac:dyDescent="0.3">
      <c r="A268" s="6" t="s">
        <v>30</v>
      </c>
      <c r="B268" s="6">
        <v>2020</v>
      </c>
      <c r="C268" s="6" t="s">
        <v>41</v>
      </c>
      <c r="D268" s="21">
        <f t="shared" si="53"/>
        <v>43983</v>
      </c>
      <c r="E268" s="4">
        <f>AVERAGE(All_India_Index_Upto_April23__1___1[[#This Row],[Cereals and products]:[Food and beverages]])</f>
        <v>150.07692307692307</v>
      </c>
      <c r="F268" s="5">
        <f>AVERAGE(All_India_Index_Upto_April23__1___1[[#This Row],[Pan, tobacco and intoxicants]])</f>
        <v>182.4</v>
      </c>
      <c r="G268" s="4">
        <f>AVERAGE(All_India_Index_Upto_April23__1___1[[#This Row],[Clothing]:[Clothing and footwear]])</f>
        <v>152.93333333333331</v>
      </c>
      <c r="H268" s="5">
        <f>AVERAGE(All_India_Index_Upto_April23__1___1[[#This Row],[Housing]:[Fuel and light]])</f>
        <v>144.9</v>
      </c>
      <c r="I268" s="5">
        <f>AVERAGE(All_India_Index_Upto_April23__1___1[[#This Row],[Household goods and services]:[Health]])</f>
        <v>154.94999999999999</v>
      </c>
      <c r="J268" s="5">
        <f>AVERAGE(All_India_Index_Upto_April23__1___1[[#This Row],[Transport and communication]])</f>
        <v>141.4</v>
      </c>
      <c r="K268" s="5">
        <f>AVERAGE(All_India_Index_Upto_April23__1___1[[#This Row],[Recreation and amusement]])</f>
        <v>153.19999999999999</v>
      </c>
      <c r="L268" s="5">
        <f>AVERAGE(All_India_Index_Upto_April23__1___1[[#This Row],[Education]])</f>
        <v>161.80000000000001</v>
      </c>
      <c r="M268" s="5">
        <f>AVERAGE(All_India_Index_Upto_April23__1___1[[#This Row],[Personal care and effects]])</f>
        <v>151.19999999999999</v>
      </c>
      <c r="N268" s="5">
        <f>AVERAGE(All_India_Index_Upto_April23__1___1[[#This Row],[Miscellaneous]])</f>
        <v>151.69999999999999</v>
      </c>
      <c r="O268" s="5">
        <f>AVERAGE(All_India_Index_Upto_April23__1___1[[#This Row],[General index]])</f>
        <v>152.69999999999999</v>
      </c>
      <c r="P268" s="2">
        <f t="shared" si="63"/>
        <v>1392.8602564102562</v>
      </c>
      <c r="R268" s="10">
        <f t="shared" si="54"/>
        <v>10.77472936615395</v>
      </c>
      <c r="S268" s="10">
        <f t="shared" si="55"/>
        <v>13.095355342400946</v>
      </c>
      <c r="T268" s="10">
        <f t="shared" si="56"/>
        <v>10.979804515887341</v>
      </c>
      <c r="U268" s="10">
        <f t="shared" si="57"/>
        <v>10.403053668387594</v>
      </c>
      <c r="V268" s="10">
        <f t="shared" si="58"/>
        <v>11.12459051702317</v>
      </c>
      <c r="W268" s="10">
        <f t="shared" si="59"/>
        <v>10.151772178813015</v>
      </c>
      <c r="X268" s="10">
        <f t="shared" si="60"/>
        <v>10.998949772235882</v>
      </c>
      <c r="Y268" s="10">
        <f t="shared" si="61"/>
        <v>11.616384289476279</v>
      </c>
      <c r="Z268" s="10">
        <f t="shared" si="62"/>
        <v>10.855360349621836</v>
      </c>
    </row>
    <row r="269" spans="1:26" hidden="1" x14ac:dyDescent="0.3">
      <c r="A269" s="5" t="s">
        <v>32</v>
      </c>
      <c r="B269" s="5">
        <v>2020</v>
      </c>
      <c r="C269" s="5" t="s">
        <v>41</v>
      </c>
      <c r="D269" s="21">
        <f t="shared" si="53"/>
        <v>43983</v>
      </c>
      <c r="E269" s="4">
        <f>AVERAGE(All_India_Index_Upto_April23__1___1[[#This Row],[Cereals and products]:[Food and beverages]])</f>
        <v>153.46153846153845</v>
      </c>
      <c r="F269" s="5">
        <f>AVERAGE(All_India_Index_Upto_April23__1___1[[#This Row],[Pan, tobacco and intoxicants]])</f>
        <v>186.7</v>
      </c>
      <c r="G269" s="4">
        <f>AVERAGE(All_India_Index_Upto_April23__1___1[[#This Row],[Clothing]:[Clothing and footwear]])</f>
        <v>144.29999999999998</v>
      </c>
      <c r="H269" s="5">
        <f>AVERAGE(All_India_Index_Upto_April23__1___1[[#This Row],[Housing]:[Fuel and light]])</f>
        <v>137.1</v>
      </c>
      <c r="I269" s="5">
        <f>AVERAGE(All_India_Index_Upto_April23__1___1[[#This Row],[Household goods and services]:[Health]])</f>
        <v>144.25</v>
      </c>
      <c r="J269" s="5">
        <f>AVERAGE(All_India_Index_Upto_April23__1___1[[#This Row],[Transport and communication]])</f>
        <v>129.30000000000001</v>
      </c>
      <c r="K269" s="5">
        <f>AVERAGE(All_India_Index_Upto_April23__1___1[[#This Row],[Recreation and amusement]])</f>
        <v>144.5</v>
      </c>
      <c r="L269" s="5">
        <f>AVERAGE(All_India_Index_Upto_April23__1___1[[#This Row],[Education]])</f>
        <v>152.5</v>
      </c>
      <c r="M269" s="5">
        <f>AVERAGE(All_India_Index_Upto_April23__1___1[[#This Row],[Personal care and effects]])</f>
        <v>152.19999999999999</v>
      </c>
      <c r="N269" s="5">
        <f>AVERAGE(All_India_Index_Upto_April23__1___1[[#This Row],[Miscellaneous]])</f>
        <v>142</v>
      </c>
      <c r="O269" s="5">
        <f>AVERAGE(All_India_Index_Upto_April23__1___1[[#This Row],[General index]])</f>
        <v>150.80000000000001</v>
      </c>
      <c r="P269" s="2">
        <f t="shared" si="63"/>
        <v>1344.3115384615385</v>
      </c>
      <c r="R269" s="10">
        <f t="shared" si="54"/>
        <v>11.415623095607987</v>
      </c>
      <c r="S269" s="10">
        <f t="shared" si="55"/>
        <v>13.888149782130398</v>
      </c>
      <c r="T269" s="10">
        <f t="shared" si="56"/>
        <v>10.734118979975451</v>
      </c>
      <c r="U269" s="10">
        <f t="shared" si="57"/>
        <v>10.19852884376046</v>
      </c>
      <c r="V269" s="10">
        <f t="shared" si="58"/>
        <v>10.730399604029515</v>
      </c>
      <c r="W269" s="10">
        <f t="shared" si="59"/>
        <v>9.6183061961942204</v>
      </c>
      <c r="X269" s="10">
        <f t="shared" si="60"/>
        <v>10.748996483759202</v>
      </c>
      <c r="Y269" s="10">
        <f t="shared" si="61"/>
        <v>11.344096635109192</v>
      </c>
      <c r="Z269" s="10">
        <f t="shared" si="62"/>
        <v>11.321780379433568</v>
      </c>
    </row>
    <row r="270" spans="1:26" hidden="1" x14ac:dyDescent="0.3">
      <c r="A270" s="6" t="s">
        <v>34</v>
      </c>
      <c r="B270" s="6">
        <v>2020</v>
      </c>
      <c r="C270" s="6" t="s">
        <v>41</v>
      </c>
      <c r="D270" s="21">
        <f t="shared" si="53"/>
        <v>43983</v>
      </c>
      <c r="E270" s="4">
        <f>AVERAGE(All_India_Index_Upto_April23__1___1[[#This Row],[Cereals and products]:[Food and beverages]])</f>
        <v>151.2923076923077</v>
      </c>
      <c r="F270" s="5">
        <f>AVERAGE(All_India_Index_Upto_April23__1___1[[#This Row],[Pan, tobacco and intoxicants]])</f>
        <v>183.5</v>
      </c>
      <c r="G270" s="4">
        <f>AVERAGE(All_India_Index_Upto_April23__1___1[[#This Row],[Clothing]:[Clothing and footwear]])</f>
        <v>149.43333333333331</v>
      </c>
      <c r="H270" s="5">
        <f>AVERAGE(All_India_Index_Upto_April23__1___1[[#This Row],[Housing]:[Fuel and light]])</f>
        <v>141.9</v>
      </c>
      <c r="I270" s="5">
        <f>AVERAGE(All_India_Index_Upto_April23__1___1[[#This Row],[Household goods and services]:[Health]])</f>
        <v>150.4</v>
      </c>
      <c r="J270" s="5">
        <f>AVERAGE(All_India_Index_Upto_April23__1___1[[#This Row],[Transport and communication]])</f>
        <v>135</v>
      </c>
      <c r="K270" s="5">
        <f>AVERAGE(All_India_Index_Upto_April23__1___1[[#This Row],[Recreation and amusement]])</f>
        <v>148.30000000000001</v>
      </c>
      <c r="L270" s="5">
        <f>AVERAGE(All_India_Index_Upto_April23__1___1[[#This Row],[Education]])</f>
        <v>156.4</v>
      </c>
      <c r="M270" s="5">
        <f>AVERAGE(All_India_Index_Upto_April23__1___1[[#This Row],[Personal care and effects]])</f>
        <v>151.6</v>
      </c>
      <c r="N270" s="5">
        <f>AVERAGE(All_India_Index_Upto_April23__1___1[[#This Row],[Miscellaneous]])</f>
        <v>147</v>
      </c>
      <c r="O270" s="5">
        <f>AVERAGE(All_India_Index_Upto_April23__1___1[[#This Row],[General index]])</f>
        <v>151.80000000000001</v>
      </c>
      <c r="P270" s="2">
        <f>AVERAGE(E270:N270)</f>
        <v>151.48256410256411</v>
      </c>
      <c r="R270" s="10">
        <f t="shared" si="54"/>
        <v>99.874403756377134</v>
      </c>
      <c r="S270" s="10">
        <f t="shared" si="55"/>
        <v>121.13605356967545</v>
      </c>
      <c r="T270" s="10">
        <f t="shared" si="56"/>
        <v>98.647216739846485</v>
      </c>
      <c r="U270" s="10">
        <f t="shared" si="57"/>
        <v>93.674147147340307</v>
      </c>
      <c r="V270" s="10">
        <f t="shared" si="58"/>
        <v>99.285353988442438</v>
      </c>
      <c r="W270" s="10">
        <f t="shared" si="59"/>
        <v>89.119167476327974</v>
      </c>
      <c r="X270" s="10">
        <f t="shared" si="60"/>
        <v>97.899055827699556</v>
      </c>
      <c r="Y270" s="10">
        <f t="shared" si="61"/>
        <v>103.24620587627923</v>
      </c>
      <c r="Z270" s="10">
        <f t="shared" si="62"/>
        <v>100.07752436600978</v>
      </c>
    </row>
    <row r="271" spans="1:26" hidden="1" x14ac:dyDescent="0.3">
      <c r="A271" s="5" t="s">
        <v>30</v>
      </c>
      <c r="B271" s="5">
        <v>2020</v>
      </c>
      <c r="C271" s="5" t="s">
        <v>43</v>
      </c>
      <c r="D271" s="21">
        <f t="shared" si="53"/>
        <v>44013</v>
      </c>
      <c r="E271" s="4">
        <f>AVERAGE(All_India_Index_Upto_April23__1___1[[#This Row],[Cereals and products]:[Food and beverages]])</f>
        <v>150.07692307692307</v>
      </c>
      <c r="F271" s="5">
        <f>AVERAGE(All_India_Index_Upto_April23__1___1[[#This Row],[Pan, tobacco and intoxicants]])</f>
        <v>182.4</v>
      </c>
      <c r="G271" s="4">
        <f>AVERAGE(All_India_Index_Upto_April23__1___1[[#This Row],[Clothing]:[Clothing and footwear]])</f>
        <v>152.93333333333331</v>
      </c>
      <c r="H271" s="5">
        <f>AVERAGE(All_India_Index_Upto_April23__1___1[[#This Row],[Housing]:[Fuel and light]])</f>
        <v>144.9</v>
      </c>
      <c r="I271" s="5">
        <f>AVERAGE(All_India_Index_Upto_April23__1___1[[#This Row],[Household goods and services]:[Health]])</f>
        <v>154.94999999999999</v>
      </c>
      <c r="J271" s="5">
        <f>AVERAGE(All_India_Index_Upto_April23__1___1[[#This Row],[Transport and communication]])</f>
        <v>141.4</v>
      </c>
      <c r="K271" s="5">
        <f>AVERAGE(All_India_Index_Upto_April23__1___1[[#This Row],[Recreation and amusement]])</f>
        <v>153.19999999999999</v>
      </c>
      <c r="L271" s="5">
        <f>AVERAGE(All_India_Index_Upto_April23__1___1[[#This Row],[Education]])</f>
        <v>161.80000000000001</v>
      </c>
      <c r="M271" s="5">
        <f>AVERAGE(All_India_Index_Upto_April23__1___1[[#This Row],[Personal care and effects]])</f>
        <v>151.19999999999999</v>
      </c>
      <c r="N271" s="5">
        <f>AVERAGE(All_India_Index_Upto_April23__1___1[[#This Row],[Miscellaneous]])</f>
        <v>151.69999999999999</v>
      </c>
      <c r="O271" s="5">
        <f>AVERAGE(All_India_Index_Upto_April23__1___1[[#This Row],[General index]])</f>
        <v>152.69999999999999</v>
      </c>
      <c r="P271" s="2">
        <f t="shared" si="63"/>
        <v>1392.8602564102562</v>
      </c>
      <c r="R271" s="10">
        <f t="shared" si="54"/>
        <v>10.77472936615395</v>
      </c>
      <c r="S271" s="10">
        <f t="shared" si="55"/>
        <v>13.095355342400946</v>
      </c>
      <c r="T271" s="10">
        <f t="shared" si="56"/>
        <v>10.979804515887341</v>
      </c>
      <c r="U271" s="10">
        <f t="shared" si="57"/>
        <v>10.403053668387594</v>
      </c>
      <c r="V271" s="10">
        <f t="shared" si="58"/>
        <v>11.12459051702317</v>
      </c>
      <c r="W271" s="10">
        <f t="shared" si="59"/>
        <v>10.151772178813015</v>
      </c>
      <c r="X271" s="10">
        <f t="shared" si="60"/>
        <v>10.998949772235882</v>
      </c>
      <c r="Y271" s="10">
        <f t="shared" si="61"/>
        <v>11.616384289476279</v>
      </c>
      <c r="Z271" s="10">
        <f t="shared" si="62"/>
        <v>10.855360349621836</v>
      </c>
    </row>
    <row r="272" spans="1:26" hidden="1" x14ac:dyDescent="0.3">
      <c r="A272" s="6" t="s">
        <v>32</v>
      </c>
      <c r="B272" s="6">
        <v>2020</v>
      </c>
      <c r="C272" s="6" t="s">
        <v>43</v>
      </c>
      <c r="D272" s="21">
        <f t="shared" si="53"/>
        <v>44013</v>
      </c>
      <c r="E272" s="4">
        <f>AVERAGE(All_India_Index_Upto_April23__1___1[[#This Row],[Cereals and products]:[Food and beverages]])</f>
        <v>153.46153846153845</v>
      </c>
      <c r="F272" s="5">
        <f>AVERAGE(All_India_Index_Upto_April23__1___1[[#This Row],[Pan, tobacco and intoxicants]])</f>
        <v>186.7</v>
      </c>
      <c r="G272" s="4">
        <f>AVERAGE(All_India_Index_Upto_April23__1___1[[#This Row],[Clothing]:[Clothing and footwear]])</f>
        <v>144.29999999999998</v>
      </c>
      <c r="H272" s="5">
        <f>AVERAGE(All_India_Index_Upto_April23__1___1[[#This Row],[Housing]:[Fuel and light]])</f>
        <v>137.1</v>
      </c>
      <c r="I272" s="5">
        <f>AVERAGE(All_India_Index_Upto_April23__1___1[[#This Row],[Household goods and services]:[Health]])</f>
        <v>144.25</v>
      </c>
      <c r="J272" s="5">
        <f>AVERAGE(All_India_Index_Upto_April23__1___1[[#This Row],[Transport and communication]])</f>
        <v>129.30000000000001</v>
      </c>
      <c r="K272" s="5">
        <f>AVERAGE(All_India_Index_Upto_April23__1___1[[#This Row],[Recreation and amusement]])</f>
        <v>144.5</v>
      </c>
      <c r="L272" s="5">
        <f>AVERAGE(All_India_Index_Upto_April23__1___1[[#This Row],[Education]])</f>
        <v>152.5</v>
      </c>
      <c r="M272" s="5">
        <f>AVERAGE(All_India_Index_Upto_April23__1___1[[#This Row],[Personal care and effects]])</f>
        <v>152.19999999999999</v>
      </c>
      <c r="N272" s="5">
        <f>AVERAGE(All_India_Index_Upto_April23__1___1[[#This Row],[Miscellaneous]])</f>
        <v>142</v>
      </c>
      <c r="O272" s="5">
        <f>AVERAGE(All_India_Index_Upto_April23__1___1[[#This Row],[General index]])</f>
        <v>150.80000000000001</v>
      </c>
      <c r="P272" s="2">
        <f t="shared" si="63"/>
        <v>1344.3115384615385</v>
      </c>
      <c r="R272" s="10">
        <f t="shared" si="54"/>
        <v>11.415623095607987</v>
      </c>
      <c r="S272" s="10">
        <f t="shared" si="55"/>
        <v>13.888149782130398</v>
      </c>
      <c r="T272" s="10">
        <f t="shared" si="56"/>
        <v>10.734118979975451</v>
      </c>
      <c r="U272" s="10">
        <f t="shared" si="57"/>
        <v>10.19852884376046</v>
      </c>
      <c r="V272" s="10">
        <f t="shared" si="58"/>
        <v>10.730399604029515</v>
      </c>
      <c r="W272" s="10">
        <f t="shared" si="59"/>
        <v>9.6183061961942204</v>
      </c>
      <c r="X272" s="10">
        <f t="shared" si="60"/>
        <v>10.748996483759202</v>
      </c>
      <c r="Y272" s="10">
        <f t="shared" si="61"/>
        <v>11.344096635109192</v>
      </c>
      <c r="Z272" s="10">
        <f t="shared" si="62"/>
        <v>11.321780379433568</v>
      </c>
    </row>
    <row r="273" spans="1:26" hidden="1" x14ac:dyDescent="0.3">
      <c r="A273" s="5" t="s">
        <v>34</v>
      </c>
      <c r="B273" s="5">
        <v>2020</v>
      </c>
      <c r="C273" s="5" t="s">
        <v>43</v>
      </c>
      <c r="D273" s="21">
        <f t="shared" si="53"/>
        <v>44013</v>
      </c>
      <c r="E273" s="4">
        <f>AVERAGE(All_India_Index_Upto_April23__1___1[[#This Row],[Cereals and products]:[Food and beverages]])</f>
        <v>151.2923076923077</v>
      </c>
      <c r="F273" s="5">
        <f>AVERAGE(All_India_Index_Upto_April23__1___1[[#This Row],[Pan, tobacco and intoxicants]])</f>
        <v>183.5</v>
      </c>
      <c r="G273" s="4">
        <f>AVERAGE(All_India_Index_Upto_April23__1___1[[#This Row],[Clothing]:[Clothing and footwear]])</f>
        <v>149.43333333333331</v>
      </c>
      <c r="H273" s="5">
        <f>AVERAGE(All_India_Index_Upto_April23__1___1[[#This Row],[Housing]:[Fuel and light]])</f>
        <v>141.9</v>
      </c>
      <c r="I273" s="5">
        <f>AVERAGE(All_India_Index_Upto_April23__1___1[[#This Row],[Household goods and services]:[Health]])</f>
        <v>150.4</v>
      </c>
      <c r="J273" s="5">
        <f>AVERAGE(All_India_Index_Upto_April23__1___1[[#This Row],[Transport and communication]])</f>
        <v>135</v>
      </c>
      <c r="K273" s="5">
        <f>AVERAGE(All_India_Index_Upto_April23__1___1[[#This Row],[Recreation and amusement]])</f>
        <v>148.30000000000001</v>
      </c>
      <c r="L273" s="5">
        <f>AVERAGE(All_India_Index_Upto_April23__1___1[[#This Row],[Education]])</f>
        <v>156.4</v>
      </c>
      <c r="M273" s="5">
        <f>AVERAGE(All_India_Index_Upto_April23__1___1[[#This Row],[Personal care and effects]])</f>
        <v>151.6</v>
      </c>
      <c r="N273" s="5">
        <f>AVERAGE(All_India_Index_Upto_April23__1___1[[#This Row],[Miscellaneous]])</f>
        <v>147</v>
      </c>
      <c r="O273" s="5">
        <f>AVERAGE(All_India_Index_Upto_April23__1___1[[#This Row],[General index]])</f>
        <v>151.80000000000001</v>
      </c>
      <c r="P273" s="2">
        <f>AVERAGE(E273:N273)</f>
        <v>151.48256410256411</v>
      </c>
      <c r="R273" s="10">
        <f t="shared" si="54"/>
        <v>99.874403756377134</v>
      </c>
      <c r="S273" s="10">
        <f t="shared" si="55"/>
        <v>121.13605356967545</v>
      </c>
      <c r="T273" s="10">
        <f t="shared" si="56"/>
        <v>98.647216739846485</v>
      </c>
      <c r="U273" s="10">
        <f t="shared" si="57"/>
        <v>93.674147147340307</v>
      </c>
      <c r="V273" s="10">
        <f t="shared" si="58"/>
        <v>99.285353988442438</v>
      </c>
      <c r="W273" s="10">
        <f t="shared" si="59"/>
        <v>89.119167476327974</v>
      </c>
      <c r="X273" s="10">
        <f t="shared" si="60"/>
        <v>97.899055827699556</v>
      </c>
      <c r="Y273" s="10">
        <f t="shared" si="61"/>
        <v>103.24620587627923</v>
      </c>
      <c r="Z273" s="10">
        <f t="shared" si="62"/>
        <v>100.07752436600978</v>
      </c>
    </row>
    <row r="274" spans="1:26" hidden="1" x14ac:dyDescent="0.3">
      <c r="A274" s="6" t="s">
        <v>30</v>
      </c>
      <c r="B274" s="6">
        <v>2020</v>
      </c>
      <c r="C274" s="6" t="s">
        <v>45</v>
      </c>
      <c r="D274" s="21">
        <f t="shared" si="53"/>
        <v>44044</v>
      </c>
      <c r="E274" s="4">
        <f>AVERAGE(All_India_Index_Upto_April23__1___1[[#This Row],[Cereals and products]:[Food and beverages]])</f>
        <v>152.19999999999999</v>
      </c>
      <c r="F274" s="5">
        <f>AVERAGE(All_India_Index_Upto_April23__1___1[[#This Row],[Pan, tobacco and intoxicants]])</f>
        <v>180.9</v>
      </c>
      <c r="G274" s="4">
        <f>AVERAGE(All_India_Index_Upto_April23__1___1[[#This Row],[Clothing]:[Clothing and footwear]])</f>
        <v>152.9</v>
      </c>
      <c r="H274" s="5">
        <f>AVERAGE(All_India_Index_Upto_April23__1___1[[#This Row],[Housing]:[Fuel and light]])</f>
        <v>145.80000000000001</v>
      </c>
      <c r="I274" s="5">
        <f>AVERAGE(All_India_Index_Upto_April23__1___1[[#This Row],[Household goods and services]:[Health]])</f>
        <v>155.35000000000002</v>
      </c>
      <c r="J274" s="5">
        <f>AVERAGE(All_India_Index_Upto_April23__1___1[[#This Row],[Transport and communication]])</f>
        <v>143.6</v>
      </c>
      <c r="K274" s="5">
        <f>AVERAGE(All_India_Index_Upto_April23__1___1[[#This Row],[Recreation and amusement]])</f>
        <v>152.19999999999999</v>
      </c>
      <c r="L274" s="5">
        <f>AVERAGE(All_India_Index_Upto_April23__1___1[[#This Row],[Education]])</f>
        <v>162.69999999999999</v>
      </c>
      <c r="M274" s="5">
        <f>AVERAGE(All_India_Index_Upto_April23__1___1[[#This Row],[Personal care and effects]])</f>
        <v>153.6</v>
      </c>
      <c r="N274" s="5">
        <f>AVERAGE(All_India_Index_Upto_April23__1___1[[#This Row],[Miscellaneous]])</f>
        <v>153</v>
      </c>
      <c r="O274" s="5">
        <f>AVERAGE(All_India_Index_Upto_April23__1___1[[#This Row],[General index]])</f>
        <v>154.69999999999999</v>
      </c>
      <c r="P274" s="2">
        <f t="shared" si="63"/>
        <v>1399.25</v>
      </c>
      <c r="R274" s="10">
        <f t="shared" si="54"/>
        <v>10.877255672681793</v>
      </c>
      <c r="S274" s="10">
        <f t="shared" si="55"/>
        <v>12.928354475611936</v>
      </c>
      <c r="T274" s="10">
        <f t="shared" si="56"/>
        <v>10.92728247275326</v>
      </c>
      <c r="U274" s="10">
        <f t="shared" si="57"/>
        <v>10.419867786314098</v>
      </c>
      <c r="V274" s="10">
        <f t="shared" si="58"/>
        <v>11.102376273003395</v>
      </c>
      <c r="W274" s="10">
        <f t="shared" si="59"/>
        <v>10.262640700375201</v>
      </c>
      <c r="X274" s="10">
        <f t="shared" si="60"/>
        <v>10.877255672681793</v>
      </c>
      <c r="Y274" s="10">
        <f t="shared" si="61"/>
        <v>11.627657673753795</v>
      </c>
      <c r="Z274" s="10">
        <f t="shared" si="62"/>
        <v>10.977309272824726</v>
      </c>
    </row>
    <row r="275" spans="1:26" hidden="1" x14ac:dyDescent="0.3">
      <c r="A275" s="5" t="s">
        <v>32</v>
      </c>
      <c r="B275" s="5">
        <v>2020</v>
      </c>
      <c r="C275" s="5" t="s">
        <v>45</v>
      </c>
      <c r="D275" s="21">
        <f t="shared" si="53"/>
        <v>44044</v>
      </c>
      <c r="E275" s="4">
        <f>AVERAGE(All_India_Index_Upto_April23__1___1[[#This Row],[Cereals and products]:[Food and beverages]])</f>
        <v>155.76153846153846</v>
      </c>
      <c r="F275" s="5">
        <f>AVERAGE(All_India_Index_Upto_April23__1___1[[#This Row],[Pan, tobacco and intoxicants]])</f>
        <v>187.2</v>
      </c>
      <c r="G275" s="4">
        <f>AVERAGE(All_India_Index_Upto_April23__1___1[[#This Row],[Clothing]:[Clothing and footwear]])</f>
        <v>144.33333333333334</v>
      </c>
      <c r="H275" s="5">
        <f>AVERAGE(All_India_Index_Upto_April23__1___1[[#This Row],[Housing]:[Fuel and light]])</f>
        <v>138.30000000000001</v>
      </c>
      <c r="I275" s="5">
        <f>AVERAGE(All_India_Index_Upto_April23__1___1[[#This Row],[Household goods and services]:[Health]])</f>
        <v>146.6</v>
      </c>
      <c r="J275" s="5">
        <f>AVERAGE(All_India_Index_Upto_April23__1___1[[#This Row],[Transport and communication]])</f>
        <v>133.9</v>
      </c>
      <c r="K275" s="5">
        <f>AVERAGE(All_India_Index_Upto_April23__1___1[[#This Row],[Recreation and amusement]])</f>
        <v>141.19999999999999</v>
      </c>
      <c r="L275" s="5">
        <f>AVERAGE(All_India_Index_Upto_April23__1___1[[#This Row],[Education]])</f>
        <v>155.5</v>
      </c>
      <c r="M275" s="5">
        <f>AVERAGE(All_India_Index_Upto_April23__1___1[[#This Row],[Personal care and effects]])</f>
        <v>155.19999999999999</v>
      </c>
      <c r="N275" s="5">
        <f>AVERAGE(All_India_Index_Upto_April23__1___1[[#This Row],[Miscellaneous]])</f>
        <v>144.80000000000001</v>
      </c>
      <c r="O275" s="5">
        <f>AVERAGE(All_India_Index_Upto_April23__1___1[[#This Row],[General index]])</f>
        <v>152.9</v>
      </c>
      <c r="P275" s="2">
        <f t="shared" si="63"/>
        <v>1357.9948717948719</v>
      </c>
      <c r="R275" s="10">
        <f t="shared" si="54"/>
        <v>11.469965144689191</v>
      </c>
      <c r="S275" s="10">
        <f t="shared" si="55"/>
        <v>13.785029964993637</v>
      </c>
      <c r="T275" s="10">
        <f t="shared" si="56"/>
        <v>10.628415197368669</v>
      </c>
      <c r="U275" s="10">
        <f t="shared" si="57"/>
        <v>10.184132714522542</v>
      </c>
      <c r="V275" s="10">
        <f t="shared" si="58"/>
        <v>10.795327953355059</v>
      </c>
      <c r="W275" s="10">
        <f t="shared" si="59"/>
        <v>9.8601255999607265</v>
      </c>
      <c r="X275" s="10">
        <f t="shared" si="60"/>
        <v>10.397682858211011</v>
      </c>
      <c r="Y275" s="10">
        <f t="shared" si="61"/>
        <v>11.450705980536915</v>
      </c>
      <c r="Z275" s="10">
        <f t="shared" si="62"/>
        <v>11.428614586362244</v>
      </c>
    </row>
    <row r="276" spans="1:26" hidden="1" x14ac:dyDescent="0.3">
      <c r="A276" s="6" t="s">
        <v>34</v>
      </c>
      <c r="B276" s="6">
        <v>2020</v>
      </c>
      <c r="C276" s="6" t="s">
        <v>45</v>
      </c>
      <c r="D276" s="21">
        <f t="shared" si="53"/>
        <v>44044</v>
      </c>
      <c r="E276" s="4">
        <f>AVERAGE(All_India_Index_Upto_April23__1___1[[#This Row],[Cereals and products]:[Food and beverages]])</f>
        <v>153.47692307692307</v>
      </c>
      <c r="F276" s="5">
        <f>AVERAGE(All_India_Index_Upto_April23__1___1[[#This Row],[Pan, tobacco and intoxicants]])</f>
        <v>182.6</v>
      </c>
      <c r="G276" s="4">
        <f>AVERAGE(All_India_Index_Upto_April23__1___1[[#This Row],[Clothing]:[Clothing and footwear]])</f>
        <v>149.4</v>
      </c>
      <c r="H276" s="5">
        <f>AVERAGE(All_India_Index_Upto_April23__1___1[[#This Row],[Housing]:[Fuel and light]])</f>
        <v>143</v>
      </c>
      <c r="I276" s="5">
        <f>AVERAGE(All_India_Index_Upto_April23__1___1[[#This Row],[Household goods and services]:[Health]])</f>
        <v>151.69999999999999</v>
      </c>
      <c r="J276" s="5">
        <f>AVERAGE(All_India_Index_Upto_April23__1___1[[#This Row],[Transport and communication]])</f>
        <v>138.5</v>
      </c>
      <c r="K276" s="5">
        <f>AVERAGE(All_India_Index_Upto_April23__1___1[[#This Row],[Recreation and amusement]])</f>
        <v>146</v>
      </c>
      <c r="L276" s="5">
        <f>AVERAGE(All_India_Index_Upto_April23__1___1[[#This Row],[Education]])</f>
        <v>158.5</v>
      </c>
      <c r="M276" s="5">
        <f>AVERAGE(All_India_Index_Upto_April23__1___1[[#This Row],[Personal care and effects]])</f>
        <v>154.30000000000001</v>
      </c>
      <c r="N276" s="5">
        <f>AVERAGE(All_India_Index_Upto_April23__1___1[[#This Row],[Miscellaneous]])</f>
        <v>149</v>
      </c>
      <c r="O276" s="5">
        <f>AVERAGE(All_India_Index_Upto_April23__1___1[[#This Row],[General index]])</f>
        <v>153.9</v>
      </c>
      <c r="P276" s="2">
        <f>AVERAGE(E276:N276)</f>
        <v>152.6476923076923</v>
      </c>
      <c r="R276" s="10">
        <f t="shared" si="54"/>
        <v>100.5432317755314</v>
      </c>
      <c r="S276" s="10">
        <f t="shared" si="55"/>
        <v>119.62185424456517</v>
      </c>
      <c r="T276" s="10">
        <f t="shared" si="56"/>
        <v>97.872426200098786</v>
      </c>
      <c r="U276" s="10">
        <f t="shared" si="57"/>
        <v>93.679765372249832</v>
      </c>
      <c r="V276" s="10">
        <f t="shared" si="58"/>
        <v>99.379163685106988</v>
      </c>
      <c r="W276" s="10">
        <f t="shared" si="59"/>
        <v>90.731800727668542</v>
      </c>
      <c r="X276" s="10">
        <f t="shared" si="60"/>
        <v>95.645075135304026</v>
      </c>
      <c r="Y276" s="10">
        <f t="shared" si="61"/>
        <v>103.83386581469649</v>
      </c>
      <c r="Z276" s="10">
        <f t="shared" si="62"/>
        <v>101.08243214642063</v>
      </c>
    </row>
    <row r="277" spans="1:26" hidden="1" x14ac:dyDescent="0.3">
      <c r="A277" s="5" t="s">
        <v>30</v>
      </c>
      <c r="B277" s="5">
        <v>2020</v>
      </c>
      <c r="C277" s="5" t="s">
        <v>47</v>
      </c>
      <c r="D277" s="21">
        <f t="shared" si="53"/>
        <v>44075</v>
      </c>
      <c r="E277" s="4">
        <f>AVERAGE(All_India_Index_Upto_April23__1___1[[#This Row],[Cereals and products]:[Food and beverages]])</f>
        <v>152.87692307692308</v>
      </c>
      <c r="F277" s="5">
        <f>AVERAGE(All_India_Index_Upto_April23__1___1[[#This Row],[Pan, tobacco and intoxicants]])</f>
        <v>182.9</v>
      </c>
      <c r="G277" s="4">
        <f>AVERAGE(All_India_Index_Upto_April23__1___1[[#This Row],[Clothing]:[Clothing and footwear]])</f>
        <v>153.29999999999998</v>
      </c>
      <c r="H277" s="5">
        <f>AVERAGE(All_India_Index_Upto_April23__1___1[[#This Row],[Housing]:[Fuel and light]])</f>
        <v>146.4</v>
      </c>
      <c r="I277" s="5">
        <f>AVERAGE(All_India_Index_Upto_April23__1___1[[#This Row],[Household goods and services]:[Health]])</f>
        <v>155.35</v>
      </c>
      <c r="J277" s="5">
        <f>AVERAGE(All_India_Index_Upto_April23__1___1[[#This Row],[Transport and communication]])</f>
        <v>144.6</v>
      </c>
      <c r="K277" s="5">
        <f>AVERAGE(All_India_Index_Upto_April23__1___1[[#This Row],[Recreation and amusement]])</f>
        <v>152.80000000000001</v>
      </c>
      <c r="L277" s="5">
        <f>AVERAGE(All_India_Index_Upto_April23__1___1[[#This Row],[Education]])</f>
        <v>161.1</v>
      </c>
      <c r="M277" s="5">
        <f>AVERAGE(All_India_Index_Upto_April23__1___1[[#This Row],[Personal care and effects]])</f>
        <v>157.4</v>
      </c>
      <c r="N277" s="5">
        <f>AVERAGE(All_India_Index_Upto_April23__1___1[[#This Row],[Miscellaneous]])</f>
        <v>153.69999999999999</v>
      </c>
      <c r="O277" s="5">
        <f>AVERAGE(All_India_Index_Upto_April23__1___1[[#This Row],[General index]])</f>
        <v>155.4</v>
      </c>
      <c r="P277" s="2">
        <f t="shared" si="63"/>
        <v>1406.7269230769232</v>
      </c>
      <c r="R277" s="10">
        <f t="shared" si="54"/>
        <v>10.867562180621135</v>
      </c>
      <c r="S277" s="10">
        <f t="shared" si="55"/>
        <v>13.001812718558355</v>
      </c>
      <c r="T277" s="10">
        <f t="shared" si="56"/>
        <v>10.897637450820095</v>
      </c>
      <c r="U277" s="10">
        <f t="shared" si="57"/>
        <v>10.40713713502976</v>
      </c>
      <c r="V277" s="10">
        <f t="shared" si="58"/>
        <v>11.04336580551143</v>
      </c>
      <c r="W277" s="10">
        <f t="shared" si="59"/>
        <v>10.279180530910541</v>
      </c>
      <c r="X277" s="10">
        <f t="shared" si="60"/>
        <v>10.86209394967587</v>
      </c>
      <c r="Y277" s="10">
        <f t="shared" si="61"/>
        <v>11.452116068670042</v>
      </c>
      <c r="Z277" s="10">
        <f t="shared" si="62"/>
        <v>11.189094160202762</v>
      </c>
    </row>
    <row r="278" spans="1:26" hidden="1" x14ac:dyDescent="0.3">
      <c r="A278" s="6" t="s">
        <v>32</v>
      </c>
      <c r="B278" s="6">
        <v>2020</v>
      </c>
      <c r="C278" s="6" t="s">
        <v>47</v>
      </c>
      <c r="D278" s="21">
        <f t="shared" si="53"/>
        <v>44075</v>
      </c>
      <c r="E278" s="4">
        <f>AVERAGE(All_India_Index_Upto_April23__1___1[[#This Row],[Cereals and products]:[Food and beverages]])</f>
        <v>157.04615384615386</v>
      </c>
      <c r="F278" s="5">
        <f>AVERAGE(All_India_Index_Upto_April23__1___1[[#This Row],[Pan, tobacco and intoxicants]])</f>
        <v>188.7</v>
      </c>
      <c r="G278" s="4">
        <f>AVERAGE(All_India_Index_Upto_April23__1___1[[#This Row],[Clothing]:[Clothing and footwear]])</f>
        <v>144.86666666666667</v>
      </c>
      <c r="H278" s="5">
        <f>AVERAGE(All_India_Index_Upto_April23__1___1[[#This Row],[Housing]:[Fuel and light]])</f>
        <v>137.19999999999999</v>
      </c>
      <c r="I278" s="5">
        <f>AVERAGE(All_India_Index_Upto_April23__1___1[[#This Row],[Household goods and services]:[Health]])</f>
        <v>147.69999999999999</v>
      </c>
      <c r="J278" s="5">
        <f>AVERAGE(All_India_Index_Upto_April23__1___1[[#This Row],[Transport and communication]])</f>
        <v>135.1</v>
      </c>
      <c r="K278" s="5">
        <f>AVERAGE(All_India_Index_Upto_April23__1___1[[#This Row],[Recreation and amusement]])</f>
        <v>141.80000000000001</v>
      </c>
      <c r="L278" s="5">
        <f>AVERAGE(All_India_Index_Upto_April23__1___1[[#This Row],[Education]])</f>
        <v>154.9</v>
      </c>
      <c r="M278" s="5">
        <f>AVERAGE(All_India_Index_Upto_April23__1___1[[#This Row],[Personal care and effects]])</f>
        <v>159.80000000000001</v>
      </c>
      <c r="N278" s="5">
        <f>AVERAGE(All_India_Index_Upto_April23__1___1[[#This Row],[Miscellaneous]])</f>
        <v>146</v>
      </c>
      <c r="O278" s="5">
        <f>AVERAGE(All_India_Index_Upto_April23__1___1[[#This Row],[General index]])</f>
        <v>154</v>
      </c>
      <c r="P278" s="2">
        <f t="shared" si="63"/>
        <v>1367.1128205128207</v>
      </c>
      <c r="R278" s="10">
        <f t="shared" si="54"/>
        <v>11.487431870271243</v>
      </c>
      <c r="S278" s="10">
        <f t="shared" si="55"/>
        <v>13.80281108981308</v>
      </c>
      <c r="T278" s="10">
        <f t="shared" si="56"/>
        <v>10.596540716539065</v>
      </c>
      <c r="U278" s="10">
        <f t="shared" si="57"/>
        <v>10.035748179768705</v>
      </c>
      <c r="V278" s="10">
        <f t="shared" si="58"/>
        <v>10.803790132302023</v>
      </c>
      <c r="W278" s="10">
        <f t="shared" si="59"/>
        <v>9.8821397892620393</v>
      </c>
      <c r="X278" s="10">
        <f t="shared" si="60"/>
        <v>10.37222370183092</v>
      </c>
      <c r="Y278" s="10">
        <f t="shared" si="61"/>
        <v>11.330447471182016</v>
      </c>
      <c r="Z278" s="10">
        <f t="shared" si="62"/>
        <v>11.688867049030897</v>
      </c>
    </row>
    <row r="279" spans="1:26" hidden="1" x14ac:dyDescent="0.3">
      <c r="A279" s="5" t="s">
        <v>34</v>
      </c>
      <c r="B279" s="5">
        <v>2020</v>
      </c>
      <c r="C279" s="5" t="s">
        <v>47</v>
      </c>
      <c r="D279" s="21">
        <f t="shared" si="53"/>
        <v>44075</v>
      </c>
      <c r="E279" s="4">
        <f>AVERAGE(All_India_Index_Upto_April23__1___1[[#This Row],[Cereals and products]:[Food and beverages]])</f>
        <v>154.38461538461539</v>
      </c>
      <c r="F279" s="5">
        <f>AVERAGE(All_India_Index_Upto_April23__1___1[[#This Row],[Pan, tobacco and intoxicants]])</f>
        <v>184.4</v>
      </c>
      <c r="G279" s="4">
        <f>AVERAGE(All_India_Index_Upto_April23__1___1[[#This Row],[Clothing]:[Clothing and footwear]])</f>
        <v>149.9</v>
      </c>
      <c r="H279" s="5">
        <f>AVERAGE(All_India_Index_Upto_April23__1___1[[#This Row],[Housing]:[Fuel and light]])</f>
        <v>142.9</v>
      </c>
      <c r="I279" s="5">
        <f>AVERAGE(All_India_Index_Upto_April23__1___1[[#This Row],[Household goods and services]:[Health]])</f>
        <v>152.14999999999998</v>
      </c>
      <c r="J279" s="5">
        <f>AVERAGE(All_India_Index_Upto_April23__1___1[[#This Row],[Transport and communication]])</f>
        <v>139.6</v>
      </c>
      <c r="K279" s="5">
        <f>AVERAGE(All_India_Index_Upto_April23__1___1[[#This Row],[Recreation and amusement]])</f>
        <v>146.6</v>
      </c>
      <c r="L279" s="5">
        <f>AVERAGE(All_India_Index_Upto_April23__1___1[[#This Row],[Education]])</f>
        <v>157.5</v>
      </c>
      <c r="M279" s="5">
        <f>AVERAGE(All_India_Index_Upto_April23__1___1[[#This Row],[Personal care and effects]])</f>
        <v>158.4</v>
      </c>
      <c r="N279" s="5">
        <f>AVERAGE(All_India_Index_Upto_April23__1___1[[#This Row],[Miscellaneous]])</f>
        <v>150</v>
      </c>
      <c r="O279" s="5">
        <f>AVERAGE(All_India_Index_Upto_April23__1___1[[#This Row],[General index]])</f>
        <v>154.69999999999999</v>
      </c>
      <c r="P279" s="2">
        <f>AVERAGE(E279:N279)</f>
        <v>153.58346153846156</v>
      </c>
      <c r="R279" s="10">
        <f t="shared" si="54"/>
        <v>100.52164070149779</v>
      </c>
      <c r="S279" s="10">
        <f t="shared" si="55"/>
        <v>120.06501100629323</v>
      </c>
      <c r="T279" s="10">
        <f t="shared" si="56"/>
        <v>97.60165482561473</v>
      </c>
      <c r="U279" s="10">
        <f t="shared" si="57"/>
        <v>93.043872412143728</v>
      </c>
      <c r="V279" s="10">
        <f t="shared" si="58"/>
        <v>99.066656315658946</v>
      </c>
      <c r="W279" s="10">
        <f t="shared" si="59"/>
        <v>90.895203560078812</v>
      </c>
      <c r="X279" s="10">
        <f t="shared" si="60"/>
        <v>95.452985973549815</v>
      </c>
      <c r="Y279" s="10">
        <f t="shared" si="61"/>
        <v>102.55010430309753</v>
      </c>
      <c r="Z279" s="10">
        <f t="shared" si="62"/>
        <v>103.13610489911522</v>
      </c>
    </row>
    <row r="280" spans="1:26" hidden="1" x14ac:dyDescent="0.3">
      <c r="A280" s="6" t="s">
        <v>30</v>
      </c>
      <c r="B280" s="6">
        <v>2020</v>
      </c>
      <c r="C280" s="6" t="s">
        <v>49</v>
      </c>
      <c r="D280" s="21">
        <f t="shared" si="53"/>
        <v>44105</v>
      </c>
      <c r="E280" s="4">
        <f>AVERAGE(All_India_Index_Upto_April23__1___1[[#This Row],[Cereals and products]:[Food and beverages]])</f>
        <v>156.22307692307692</v>
      </c>
      <c r="F280" s="5">
        <f>AVERAGE(All_India_Index_Upto_April23__1___1[[#This Row],[Pan, tobacco and intoxicants]])</f>
        <v>182.7</v>
      </c>
      <c r="G280" s="4">
        <f>AVERAGE(All_India_Index_Upto_April23__1___1[[#This Row],[Clothing]:[Clothing and footwear]])</f>
        <v>153.76666666666665</v>
      </c>
      <c r="H280" s="5">
        <f>AVERAGE(All_India_Index_Upto_April23__1___1[[#This Row],[Housing]:[Fuel and light]])</f>
        <v>146.80000000000001</v>
      </c>
      <c r="I280" s="5">
        <f>AVERAGE(All_India_Index_Upto_April23__1___1[[#This Row],[Household goods and services]:[Health]])</f>
        <v>155.75</v>
      </c>
      <c r="J280" s="5">
        <f>AVERAGE(All_India_Index_Upto_April23__1___1[[#This Row],[Transport and communication]])</f>
        <v>146.4</v>
      </c>
      <c r="K280" s="5">
        <f>AVERAGE(All_India_Index_Upto_April23__1___1[[#This Row],[Recreation and amusement]])</f>
        <v>152.4</v>
      </c>
      <c r="L280" s="5">
        <f>AVERAGE(All_India_Index_Upto_April23__1___1[[#This Row],[Education]])</f>
        <v>162.5</v>
      </c>
      <c r="M280" s="5">
        <f>AVERAGE(All_India_Index_Upto_April23__1___1[[#This Row],[Personal care and effects]])</f>
        <v>156.19999999999999</v>
      </c>
      <c r="N280" s="5">
        <f>AVERAGE(All_India_Index_Upto_April23__1___1[[#This Row],[Miscellaneous]])</f>
        <v>154.30000000000001</v>
      </c>
      <c r="O280" s="5">
        <f>AVERAGE(All_India_Index_Upto_April23__1___1[[#This Row],[General index]])</f>
        <v>157.5</v>
      </c>
      <c r="P280" s="2">
        <f t="shared" si="63"/>
        <v>1412.7397435897435</v>
      </c>
      <c r="R280" s="10">
        <f t="shared" si="54"/>
        <v>11.058163942221743</v>
      </c>
      <c r="S280" s="10">
        <f t="shared" si="55"/>
        <v>12.932318272278723</v>
      </c>
      <c r="T280" s="10">
        <f t="shared" si="56"/>
        <v>10.884288303233305</v>
      </c>
      <c r="U280" s="10">
        <f t="shared" si="57"/>
        <v>10.391156663221219</v>
      </c>
      <c r="V280" s="10">
        <f t="shared" si="58"/>
        <v>11.024677454337226</v>
      </c>
      <c r="W280" s="10">
        <f t="shared" si="59"/>
        <v>10.36284288484732</v>
      </c>
      <c r="X280" s="10">
        <f t="shared" si="60"/>
        <v>10.787549560455817</v>
      </c>
      <c r="Y280" s="10">
        <f t="shared" si="61"/>
        <v>11.502472464396787</v>
      </c>
      <c r="Z280" s="10">
        <f t="shared" si="62"/>
        <v>11.056530455007865</v>
      </c>
    </row>
    <row r="281" spans="1:26" hidden="1" x14ac:dyDescent="0.3">
      <c r="A281" s="5" t="s">
        <v>32</v>
      </c>
      <c r="B281" s="5">
        <v>2020</v>
      </c>
      <c r="C281" s="5" t="s">
        <v>49</v>
      </c>
      <c r="D281" s="21">
        <f t="shared" si="53"/>
        <v>44105</v>
      </c>
      <c r="E281" s="4">
        <f>AVERAGE(All_India_Index_Upto_April23__1___1[[#This Row],[Cereals and products]:[Food and beverages]])</f>
        <v>160.01538461538459</v>
      </c>
      <c r="F281" s="5">
        <f>AVERAGE(All_India_Index_Upto_April23__1___1[[#This Row],[Pan, tobacco and intoxicants]])</f>
        <v>188.7</v>
      </c>
      <c r="G281" s="4">
        <f>AVERAGE(All_India_Index_Upto_April23__1___1[[#This Row],[Clothing]:[Clothing and footwear]])</f>
        <v>144.96666666666667</v>
      </c>
      <c r="H281" s="5">
        <f>AVERAGE(All_India_Index_Upto_April23__1___1[[#This Row],[Housing]:[Fuel and light]])</f>
        <v>137.1</v>
      </c>
      <c r="I281" s="5">
        <f>AVERAGE(All_India_Index_Upto_April23__1___1[[#This Row],[Household goods and services]:[Health]])</f>
        <v>148.05000000000001</v>
      </c>
      <c r="J281" s="5">
        <f>AVERAGE(All_India_Index_Upto_April23__1___1[[#This Row],[Transport and communication]])</f>
        <v>135.4</v>
      </c>
      <c r="K281" s="5">
        <f>AVERAGE(All_India_Index_Upto_April23__1___1[[#This Row],[Recreation and amusement]])</f>
        <v>142</v>
      </c>
      <c r="L281" s="5">
        <f>AVERAGE(All_India_Index_Upto_April23__1___1[[#This Row],[Education]])</f>
        <v>155.69999999999999</v>
      </c>
      <c r="M281" s="5">
        <f>AVERAGE(All_India_Index_Upto_April23__1___1[[#This Row],[Personal care and effects]])</f>
        <v>158.1</v>
      </c>
      <c r="N281" s="5">
        <f>AVERAGE(All_India_Index_Upto_April23__1___1[[#This Row],[Miscellaneous]])</f>
        <v>146.19999999999999</v>
      </c>
      <c r="O281" s="5">
        <f>AVERAGE(All_India_Index_Upto_April23__1___1[[#This Row],[General index]])</f>
        <v>155.19999999999999</v>
      </c>
      <c r="P281" s="2">
        <f t="shared" si="63"/>
        <v>1370.032051282051</v>
      </c>
      <c r="R281" s="10">
        <f t="shared" si="54"/>
        <v>11.679681834132648</v>
      </c>
      <c r="S281" s="10">
        <f t="shared" si="55"/>
        <v>13.773400397707336</v>
      </c>
      <c r="T281" s="10">
        <f t="shared" si="56"/>
        <v>10.581260966194879</v>
      </c>
      <c r="U281" s="10">
        <f t="shared" si="57"/>
        <v>10.007065153819161</v>
      </c>
      <c r="V281" s="10">
        <f t="shared" si="58"/>
        <v>10.806316528248921</v>
      </c>
      <c r="W281" s="10">
        <f t="shared" si="59"/>
        <v>9.8829804655515296</v>
      </c>
      <c r="X281" s="10">
        <f t="shared" si="60"/>
        <v>10.364721020002342</v>
      </c>
      <c r="Y281" s="10">
        <f t="shared" si="61"/>
        <v>11.364697625453271</v>
      </c>
      <c r="Z281" s="10">
        <f t="shared" si="62"/>
        <v>11.53987600888993</v>
      </c>
    </row>
    <row r="282" spans="1:26" hidden="1" x14ac:dyDescent="0.3">
      <c r="A282" s="6" t="s">
        <v>34</v>
      </c>
      <c r="B282" s="6">
        <v>2020</v>
      </c>
      <c r="C282" s="6" t="s">
        <v>49</v>
      </c>
      <c r="D282" s="21">
        <f t="shared" si="53"/>
        <v>44105</v>
      </c>
      <c r="E282" s="4">
        <f>AVERAGE(All_India_Index_Upto_April23__1___1[[#This Row],[Cereals and products]:[Food and beverages]])</f>
        <v>157.5846153846154</v>
      </c>
      <c r="F282" s="5">
        <f>AVERAGE(All_India_Index_Upto_April23__1___1[[#This Row],[Pan, tobacco and intoxicants]])</f>
        <v>184.3</v>
      </c>
      <c r="G282" s="4">
        <f>AVERAGE(All_India_Index_Upto_April23__1___1[[#This Row],[Clothing]:[Clothing and footwear]])</f>
        <v>150.19999999999999</v>
      </c>
      <c r="H282" s="5">
        <f>AVERAGE(All_India_Index_Upto_April23__1___1[[#This Row],[Housing]:[Fuel and light]])</f>
        <v>143.1</v>
      </c>
      <c r="I282" s="5">
        <f>AVERAGE(All_India_Index_Upto_April23__1___1[[#This Row],[Household goods and services]:[Health]])</f>
        <v>152.5</v>
      </c>
      <c r="J282" s="5">
        <f>AVERAGE(All_India_Index_Upto_April23__1___1[[#This Row],[Transport and communication]])</f>
        <v>140.6</v>
      </c>
      <c r="K282" s="5">
        <f>AVERAGE(All_India_Index_Upto_April23__1___1[[#This Row],[Recreation and amusement]])</f>
        <v>146.5</v>
      </c>
      <c r="L282" s="5">
        <f>AVERAGE(All_India_Index_Upto_April23__1___1[[#This Row],[Education]])</f>
        <v>158.5</v>
      </c>
      <c r="M282" s="5">
        <f>AVERAGE(All_India_Index_Upto_April23__1___1[[#This Row],[Personal care and effects]])</f>
        <v>157</v>
      </c>
      <c r="N282" s="5">
        <f>AVERAGE(All_India_Index_Upto_April23__1___1[[#This Row],[Miscellaneous]])</f>
        <v>150.4</v>
      </c>
      <c r="O282" s="5">
        <f>AVERAGE(All_India_Index_Upto_April23__1___1[[#This Row],[General index]])</f>
        <v>156.4</v>
      </c>
      <c r="P282" s="2">
        <f>AVERAGE(E282:N282)</f>
        <v>154.06846153846155</v>
      </c>
      <c r="R282" s="10">
        <f t="shared" si="54"/>
        <v>102.28220221779529</v>
      </c>
      <c r="S282" s="10">
        <f t="shared" si="55"/>
        <v>119.6221459990314</v>
      </c>
      <c r="T282" s="10">
        <f t="shared" si="56"/>
        <v>97.489128209736919</v>
      </c>
      <c r="U282" s="10">
        <f t="shared" si="57"/>
        <v>92.880787262405818</v>
      </c>
      <c r="V282" s="10">
        <f t="shared" si="58"/>
        <v>98.981971051830101</v>
      </c>
      <c r="W282" s="10">
        <f t="shared" si="59"/>
        <v>91.258131999261067</v>
      </c>
      <c r="X282" s="10">
        <f t="shared" si="60"/>
        <v>95.087598420282688</v>
      </c>
      <c r="Y282" s="10">
        <f t="shared" si="61"/>
        <v>102.8763436833775</v>
      </c>
      <c r="Z282" s="10">
        <f t="shared" si="62"/>
        <v>101.90275052549065</v>
      </c>
    </row>
    <row r="283" spans="1:26" hidden="1" x14ac:dyDescent="0.3">
      <c r="A283" s="5" t="s">
        <v>30</v>
      </c>
      <c r="B283" s="5">
        <v>2020</v>
      </c>
      <c r="C283" s="5" t="s">
        <v>52</v>
      </c>
      <c r="D283" s="21">
        <f t="shared" si="53"/>
        <v>44136</v>
      </c>
      <c r="E283" s="4">
        <f>AVERAGE(All_India_Index_Upto_April23__1___1[[#This Row],[Cereals and products]:[Food and beverages]])</f>
        <v>160.1846153846154</v>
      </c>
      <c r="F283" s="5">
        <f>AVERAGE(All_India_Index_Upto_April23__1___1[[#This Row],[Pan, tobacco and intoxicants]])</f>
        <v>183.4</v>
      </c>
      <c r="G283" s="4">
        <f>AVERAGE(All_India_Index_Upto_April23__1___1[[#This Row],[Clothing]:[Clothing and footwear]])</f>
        <v>154.26666666666668</v>
      </c>
      <c r="H283" s="5">
        <f>AVERAGE(All_India_Index_Upto_April23__1___1[[#This Row],[Housing]:[Fuel and light]])</f>
        <v>147.5</v>
      </c>
      <c r="I283" s="5">
        <f>AVERAGE(All_India_Index_Upto_April23__1___1[[#This Row],[Household goods and services]:[Health]])</f>
        <v>156.60000000000002</v>
      </c>
      <c r="J283" s="5">
        <f>AVERAGE(All_India_Index_Upto_April23__1___1[[#This Row],[Transport and communication]])</f>
        <v>146.1</v>
      </c>
      <c r="K283" s="5">
        <f>AVERAGE(All_India_Index_Upto_April23__1___1[[#This Row],[Recreation and amusement]])</f>
        <v>153.6</v>
      </c>
      <c r="L283" s="5">
        <f>AVERAGE(All_India_Index_Upto_April23__1___1[[#This Row],[Education]])</f>
        <v>161.6</v>
      </c>
      <c r="M283" s="5">
        <f>AVERAGE(All_India_Index_Upto_April23__1___1[[#This Row],[Personal care and effects]])</f>
        <v>156.19999999999999</v>
      </c>
      <c r="N283" s="5">
        <f>AVERAGE(All_India_Index_Upto_April23__1___1[[#This Row],[Miscellaneous]])</f>
        <v>154.5</v>
      </c>
      <c r="O283" s="5">
        <f>AVERAGE(All_India_Index_Upto_April23__1___1[[#This Row],[General index]])</f>
        <v>159.80000000000001</v>
      </c>
      <c r="P283" s="2">
        <f t="shared" si="63"/>
        <v>1419.4512820512821</v>
      </c>
      <c r="R283" s="10">
        <f t="shared" si="54"/>
        <v>11.284967466662813</v>
      </c>
      <c r="S283" s="10">
        <f t="shared" si="55"/>
        <v>12.920485705924644</v>
      </c>
      <c r="T283" s="10">
        <f t="shared" si="56"/>
        <v>10.868049408763952</v>
      </c>
      <c r="U283" s="10">
        <f t="shared" si="57"/>
        <v>10.39133937635706</v>
      </c>
      <c r="V283" s="10">
        <f t="shared" si="58"/>
        <v>11.03243217855943</v>
      </c>
      <c r="W283" s="10">
        <f t="shared" si="59"/>
        <v>10.292709714479772</v>
      </c>
      <c r="X283" s="10">
        <f t="shared" si="60"/>
        <v>10.821082903108097</v>
      </c>
      <c r="Y283" s="10">
        <f t="shared" si="61"/>
        <v>11.384680970978312</v>
      </c>
      <c r="Z283" s="10">
        <f t="shared" si="62"/>
        <v>11.004252275165918</v>
      </c>
    </row>
    <row r="284" spans="1:26" hidden="1" x14ac:dyDescent="0.3">
      <c r="A284" s="6" t="s">
        <v>32</v>
      </c>
      <c r="B284" s="6">
        <v>2020</v>
      </c>
      <c r="C284" s="6" t="s">
        <v>52</v>
      </c>
      <c r="D284" s="21">
        <f t="shared" si="53"/>
        <v>44136</v>
      </c>
      <c r="E284" s="4">
        <f>AVERAGE(All_India_Index_Upto_April23__1___1[[#This Row],[Cereals and products]:[Food and beverages]])</f>
        <v>163.1307692307692</v>
      </c>
      <c r="F284" s="5">
        <f>AVERAGE(All_India_Index_Upto_April23__1___1[[#This Row],[Pan, tobacco and intoxicants]])</f>
        <v>188.8</v>
      </c>
      <c r="G284" s="4">
        <f>AVERAGE(All_India_Index_Upto_April23__1___1[[#This Row],[Clothing]:[Clothing and footwear]])</f>
        <v>145.43333333333334</v>
      </c>
      <c r="H284" s="5">
        <f>AVERAGE(All_India_Index_Upto_April23__1___1[[#This Row],[Housing]:[Fuel and light]])</f>
        <v>137.30000000000001</v>
      </c>
      <c r="I284" s="5">
        <f>AVERAGE(All_India_Index_Upto_April23__1___1[[#This Row],[Household goods and services]:[Health]])</f>
        <v>148.55000000000001</v>
      </c>
      <c r="J284" s="5">
        <f>AVERAGE(All_India_Index_Upto_April23__1___1[[#This Row],[Transport and communication]])</f>
        <v>135.19999999999999</v>
      </c>
      <c r="K284" s="5">
        <f>AVERAGE(All_India_Index_Upto_April23__1___1[[#This Row],[Recreation and amusement]])</f>
        <v>144.4</v>
      </c>
      <c r="L284" s="5">
        <f>AVERAGE(All_India_Index_Upto_April23__1___1[[#This Row],[Education]])</f>
        <v>156.4</v>
      </c>
      <c r="M284" s="5">
        <f>AVERAGE(All_India_Index_Upto_April23__1___1[[#This Row],[Personal care and effects]])</f>
        <v>157.9</v>
      </c>
      <c r="N284" s="5">
        <f>AVERAGE(All_India_Index_Upto_April23__1___1[[#This Row],[Miscellaneous]])</f>
        <v>146.6</v>
      </c>
      <c r="O284" s="5">
        <f>AVERAGE(All_India_Index_Upto_April23__1___1[[#This Row],[General index]])</f>
        <v>156.69999999999999</v>
      </c>
      <c r="P284" s="2">
        <f t="shared" si="63"/>
        <v>1377.114102564103</v>
      </c>
      <c r="R284" s="10">
        <f t="shared" si="54"/>
        <v>11.845842615875446</v>
      </c>
      <c r="S284" s="10">
        <f t="shared" si="55"/>
        <v>13.709829828077853</v>
      </c>
      <c r="T284" s="10">
        <f t="shared" si="56"/>
        <v>10.560732263401071</v>
      </c>
      <c r="U284" s="10">
        <f t="shared" si="57"/>
        <v>9.9701251874739896</v>
      </c>
      <c r="V284" s="10">
        <f t="shared" si="58"/>
        <v>10.787050958479687</v>
      </c>
      <c r="W284" s="10">
        <f t="shared" si="59"/>
        <v>9.817632376886257</v>
      </c>
      <c r="X284" s="10">
        <f t="shared" si="60"/>
        <v>10.485696118508695</v>
      </c>
      <c r="Y284" s="10">
        <f t="shared" si="61"/>
        <v>11.357083607581441</v>
      </c>
      <c r="Z284" s="10">
        <f t="shared" si="62"/>
        <v>11.466007043715534</v>
      </c>
    </row>
    <row r="285" spans="1:26" hidden="1" x14ac:dyDescent="0.3">
      <c r="A285" s="5" t="s">
        <v>34</v>
      </c>
      <c r="B285" s="5">
        <v>2020</v>
      </c>
      <c r="C285" s="5" t="s">
        <v>52</v>
      </c>
      <c r="D285" s="21">
        <f t="shared" si="53"/>
        <v>44136</v>
      </c>
      <c r="E285" s="4">
        <f>AVERAGE(All_India_Index_Upto_April23__1___1[[#This Row],[Cereals and products]:[Food and beverages]])</f>
        <v>161.19999999999999</v>
      </c>
      <c r="F285" s="5">
        <f>AVERAGE(All_India_Index_Upto_April23__1___1[[#This Row],[Pan, tobacco and intoxicants]])</f>
        <v>184.8</v>
      </c>
      <c r="G285" s="4">
        <f>AVERAGE(All_India_Index_Upto_April23__1___1[[#This Row],[Clothing]:[Clothing and footwear]])</f>
        <v>150.66666666666669</v>
      </c>
      <c r="H285" s="5">
        <f>AVERAGE(All_India_Index_Upto_April23__1___1[[#This Row],[Housing]:[Fuel and light]])</f>
        <v>143.6</v>
      </c>
      <c r="I285" s="5">
        <f>AVERAGE(All_India_Index_Upto_April23__1___1[[#This Row],[Household goods and services]:[Health]])</f>
        <v>153.19999999999999</v>
      </c>
      <c r="J285" s="5">
        <f>AVERAGE(All_India_Index_Upto_April23__1___1[[#This Row],[Transport and communication]])</f>
        <v>140.4</v>
      </c>
      <c r="K285" s="5">
        <f>AVERAGE(All_India_Index_Upto_April23__1___1[[#This Row],[Recreation and amusement]])</f>
        <v>148.4</v>
      </c>
      <c r="L285" s="5">
        <f>AVERAGE(All_India_Index_Upto_April23__1___1[[#This Row],[Education]])</f>
        <v>158.6</v>
      </c>
      <c r="M285" s="5">
        <f>AVERAGE(All_India_Index_Upto_April23__1___1[[#This Row],[Personal care and effects]])</f>
        <v>156.9</v>
      </c>
      <c r="N285" s="5">
        <f>AVERAGE(All_India_Index_Upto_April23__1___1[[#This Row],[Miscellaneous]])</f>
        <v>150.69999999999999</v>
      </c>
      <c r="O285" s="5">
        <f>AVERAGE(All_India_Index_Upto_April23__1___1[[#This Row],[General index]])</f>
        <v>158.4</v>
      </c>
      <c r="P285" s="2">
        <f>AVERAGE(E285:N285)</f>
        <v>154.84666666666666</v>
      </c>
      <c r="R285" s="10">
        <f t="shared" si="54"/>
        <v>104.10298359667627</v>
      </c>
      <c r="S285" s="10">
        <f t="shared" si="55"/>
        <v>119.34386705127653</v>
      </c>
      <c r="T285" s="10">
        <f t="shared" si="56"/>
        <v>97.3005553881259</v>
      </c>
      <c r="U285" s="10">
        <f t="shared" si="57"/>
        <v>92.736901020364229</v>
      </c>
      <c r="V285" s="10">
        <f t="shared" si="58"/>
        <v>98.936582425625346</v>
      </c>
      <c r="W285" s="10">
        <f t="shared" si="59"/>
        <v>90.670340551943866</v>
      </c>
      <c r="X285" s="10">
        <f t="shared" si="60"/>
        <v>95.836741722994802</v>
      </c>
      <c r="Y285" s="10">
        <f t="shared" si="61"/>
        <v>102.42390321608472</v>
      </c>
      <c r="Z285" s="10">
        <f t="shared" si="62"/>
        <v>101.32604296723642</v>
      </c>
    </row>
    <row r="286" spans="1:26" hidden="1" x14ac:dyDescent="0.3">
      <c r="A286" s="6" t="s">
        <v>30</v>
      </c>
      <c r="B286" s="6">
        <v>2020</v>
      </c>
      <c r="C286" s="6" t="s">
        <v>54</v>
      </c>
      <c r="D286" s="21">
        <f t="shared" si="53"/>
        <v>44166</v>
      </c>
      <c r="E286" s="4">
        <f>AVERAGE(All_India_Index_Upto_April23__1___1[[#This Row],[Cereals and products]:[Food and beverages]])</f>
        <v>161.57692307692307</v>
      </c>
      <c r="F286" s="5">
        <f>AVERAGE(All_India_Index_Upto_April23__1___1[[#This Row],[Pan, tobacco and intoxicants]])</f>
        <v>183.6</v>
      </c>
      <c r="G286" s="4">
        <f>AVERAGE(All_India_Index_Upto_April23__1___1[[#This Row],[Clothing]:[Clothing and footwear]])</f>
        <v>154.96666666666667</v>
      </c>
      <c r="H286" s="5">
        <f>AVERAGE(All_India_Index_Upto_April23__1___1[[#This Row],[Housing]:[Fuel and light]])</f>
        <v>148.69999999999999</v>
      </c>
      <c r="I286" s="5">
        <f>AVERAGE(All_India_Index_Upto_April23__1___1[[#This Row],[Household goods and services]:[Health]])</f>
        <v>157.5</v>
      </c>
      <c r="J286" s="5">
        <f>AVERAGE(All_India_Index_Upto_April23__1___1[[#This Row],[Transport and communication]])</f>
        <v>146.4</v>
      </c>
      <c r="K286" s="5">
        <f>AVERAGE(All_India_Index_Upto_April23__1___1[[#This Row],[Recreation and amusement]])</f>
        <v>153.9</v>
      </c>
      <c r="L286" s="5">
        <f>AVERAGE(All_India_Index_Upto_April23__1___1[[#This Row],[Education]])</f>
        <v>162.9</v>
      </c>
      <c r="M286" s="5">
        <f>AVERAGE(All_India_Index_Upto_April23__1___1[[#This Row],[Personal care and effects]])</f>
        <v>156.6</v>
      </c>
      <c r="N286" s="5">
        <f>AVERAGE(All_India_Index_Upto_April23__1___1[[#This Row],[Miscellaneous]])</f>
        <v>155.19999999999999</v>
      </c>
      <c r="O286" s="5">
        <f>AVERAGE(All_India_Index_Upto_April23__1___1[[#This Row],[General index]])</f>
        <v>160.69999999999999</v>
      </c>
      <c r="P286" s="2">
        <f t="shared" si="63"/>
        <v>1426.1435897435897</v>
      </c>
      <c r="R286" s="10">
        <f t="shared" si="54"/>
        <v>11.329639191939531</v>
      </c>
      <c r="S286" s="10">
        <f t="shared" si="55"/>
        <v>12.87387899229768</v>
      </c>
      <c r="T286" s="10">
        <f t="shared" si="56"/>
        <v>10.866133521276673</v>
      </c>
      <c r="U286" s="10">
        <f t="shared" si="57"/>
        <v>10.426720077095124</v>
      </c>
      <c r="V286" s="10">
        <f t="shared" si="58"/>
        <v>11.043768743392619</v>
      </c>
      <c r="W286" s="10">
        <f t="shared" si="59"/>
        <v>10.265445993858281</v>
      </c>
      <c r="X286" s="10">
        <f t="shared" si="60"/>
        <v>10.791339743543643</v>
      </c>
      <c r="Y286" s="10">
        <f t="shared" si="61"/>
        <v>11.422412243166079</v>
      </c>
      <c r="Z286" s="10">
        <f t="shared" si="62"/>
        <v>10.980661493430373</v>
      </c>
    </row>
    <row r="287" spans="1:26" hidden="1" x14ac:dyDescent="0.3">
      <c r="A287" s="5" t="s">
        <v>32</v>
      </c>
      <c r="B287" s="5">
        <v>2020</v>
      </c>
      <c r="C287" s="5" t="s">
        <v>54</v>
      </c>
      <c r="D287" s="21">
        <f t="shared" si="53"/>
        <v>44166</v>
      </c>
      <c r="E287" s="4">
        <f>AVERAGE(All_India_Index_Upto_April23__1___1[[#This Row],[Cereals and products]:[Food and beverages]])</f>
        <v>163.49230769230769</v>
      </c>
      <c r="F287" s="5">
        <f>AVERAGE(All_India_Index_Upto_April23__1___1[[#This Row],[Pan, tobacco and intoxicants]])</f>
        <v>190.2</v>
      </c>
      <c r="G287" s="4">
        <f>AVERAGE(All_India_Index_Upto_April23__1___1[[#This Row],[Clothing]:[Clothing and footwear]])</f>
        <v>146.06666666666669</v>
      </c>
      <c r="H287" s="5">
        <f>AVERAGE(All_India_Index_Upto_April23__1___1[[#This Row],[Housing]:[Fuel and light]])</f>
        <v>137.9</v>
      </c>
      <c r="I287" s="5">
        <f>AVERAGE(All_India_Index_Upto_April23__1___1[[#This Row],[Household goods and services]:[Health]])</f>
        <v>149.19999999999999</v>
      </c>
      <c r="J287" s="5">
        <f>AVERAGE(All_India_Index_Upto_April23__1___1[[#This Row],[Transport and communication]])</f>
        <v>135.5</v>
      </c>
      <c r="K287" s="5">
        <f>AVERAGE(All_India_Index_Upto_April23__1___1[[#This Row],[Recreation and amusement]])</f>
        <v>144.30000000000001</v>
      </c>
      <c r="L287" s="5">
        <f>AVERAGE(All_India_Index_Upto_April23__1___1[[#This Row],[Education]])</f>
        <v>156.9</v>
      </c>
      <c r="M287" s="5">
        <f>AVERAGE(All_India_Index_Upto_April23__1___1[[#This Row],[Personal care and effects]])</f>
        <v>157.9</v>
      </c>
      <c r="N287" s="5">
        <f>AVERAGE(All_India_Index_Upto_April23__1___1[[#This Row],[Miscellaneous]])</f>
        <v>146.9</v>
      </c>
      <c r="O287" s="5">
        <f>AVERAGE(All_India_Index_Upto_April23__1___1[[#This Row],[General index]])</f>
        <v>156.9</v>
      </c>
      <c r="P287" s="2">
        <f t="shared" si="63"/>
        <v>1381.4589743589745</v>
      </c>
      <c r="R287" s="10">
        <f t="shared" si="54"/>
        <v>11.834756639673031</v>
      </c>
      <c r="S287" s="10">
        <f t="shared" si="55"/>
        <v>13.76805272760682</v>
      </c>
      <c r="T287" s="10">
        <f t="shared" si="56"/>
        <v>10.57336260994972</v>
      </c>
      <c r="U287" s="10">
        <f t="shared" si="57"/>
        <v>9.9822001637065227</v>
      </c>
      <c r="V287" s="10">
        <f t="shared" si="58"/>
        <v>10.800175956671595</v>
      </c>
      <c r="W287" s="10">
        <f t="shared" si="59"/>
        <v>9.8084707917493379</v>
      </c>
      <c r="X287" s="10">
        <f t="shared" si="60"/>
        <v>10.44547848892568</v>
      </c>
      <c r="Y287" s="10">
        <f t="shared" si="61"/>
        <v>11.357557691700896</v>
      </c>
      <c r="Z287" s="10">
        <f t="shared" si="62"/>
        <v>11.42994493001639</v>
      </c>
    </row>
    <row r="288" spans="1:26" hidden="1" x14ac:dyDescent="0.3">
      <c r="A288" s="6" t="s">
        <v>34</v>
      </c>
      <c r="B288" s="6">
        <v>2020</v>
      </c>
      <c r="C288" s="6" t="s">
        <v>54</v>
      </c>
      <c r="D288" s="21">
        <f t="shared" si="53"/>
        <v>44166</v>
      </c>
      <c r="E288" s="4">
        <f>AVERAGE(All_India_Index_Upto_April23__1___1[[#This Row],[Cereals and products]:[Food and beverages]])</f>
        <v>162.23846153846154</v>
      </c>
      <c r="F288" s="5">
        <f>AVERAGE(All_India_Index_Upto_April23__1___1[[#This Row],[Pan, tobacco and intoxicants]])</f>
        <v>185.4</v>
      </c>
      <c r="G288" s="4">
        <f>AVERAGE(All_India_Index_Upto_April23__1___1[[#This Row],[Clothing]:[Clothing and footwear]])</f>
        <v>151.33333333333334</v>
      </c>
      <c r="H288" s="5">
        <f>AVERAGE(All_India_Index_Upto_April23__1___1[[#This Row],[Housing]:[Fuel and light]])</f>
        <v>144.6</v>
      </c>
      <c r="I288" s="5">
        <f>AVERAGE(All_India_Index_Upto_April23__1___1[[#This Row],[Household goods and services]:[Health]])</f>
        <v>154</v>
      </c>
      <c r="J288" s="5">
        <f>AVERAGE(All_India_Index_Upto_April23__1___1[[#This Row],[Transport and communication]])</f>
        <v>140.69999999999999</v>
      </c>
      <c r="K288" s="5">
        <f>AVERAGE(All_India_Index_Upto_April23__1___1[[#This Row],[Recreation and amusement]])</f>
        <v>148.5</v>
      </c>
      <c r="L288" s="5">
        <f>AVERAGE(All_India_Index_Upto_April23__1___1[[#This Row],[Education]])</f>
        <v>159.4</v>
      </c>
      <c r="M288" s="5">
        <f>AVERAGE(All_India_Index_Upto_April23__1___1[[#This Row],[Personal care and effects]])</f>
        <v>157.1</v>
      </c>
      <c r="N288" s="5">
        <f>AVERAGE(All_India_Index_Upto_April23__1___1[[#This Row],[Miscellaneous]])</f>
        <v>151.19999999999999</v>
      </c>
      <c r="O288" s="5">
        <f>AVERAGE(All_India_Index_Upto_April23__1___1[[#This Row],[General index]])</f>
        <v>158.9</v>
      </c>
      <c r="P288" s="2">
        <f>AVERAGE(E288:N288)</f>
        <v>155.44717948717951</v>
      </c>
      <c r="R288" s="10">
        <f t="shared" si="54"/>
        <v>104.36886798054907</v>
      </c>
      <c r="S288" s="10">
        <f t="shared" si="55"/>
        <v>119.26880925831841</v>
      </c>
      <c r="T288" s="10">
        <f t="shared" si="56"/>
        <v>97.353540818548296</v>
      </c>
      <c r="U288" s="10">
        <f t="shared" si="57"/>
        <v>93.021951557458692</v>
      </c>
      <c r="V288" s="10">
        <f t="shared" si="58"/>
        <v>99.069021714029319</v>
      </c>
      <c r="W288" s="10">
        <f t="shared" si="59"/>
        <v>90.51306074781769</v>
      </c>
      <c r="X288" s="10">
        <f t="shared" si="60"/>
        <v>95.530842367099694</v>
      </c>
      <c r="Y288" s="10">
        <f t="shared" si="61"/>
        <v>102.5428705273784</v>
      </c>
      <c r="Z288" s="10">
        <f t="shared" si="62"/>
        <v>101.063268255026</v>
      </c>
    </row>
    <row r="289" spans="1:26" hidden="1" x14ac:dyDescent="0.3">
      <c r="A289" s="5" t="s">
        <v>30</v>
      </c>
      <c r="B289" s="5">
        <v>2021</v>
      </c>
      <c r="C289" s="5" t="s">
        <v>31</v>
      </c>
      <c r="D289" s="21">
        <f t="shared" si="53"/>
        <v>44197</v>
      </c>
      <c r="E289" s="4">
        <f>AVERAGE(All_India_Index_Upto_April23__1___1[[#This Row],[Cereals and products]:[Food and beverages]])</f>
        <v>158.89999999999998</v>
      </c>
      <c r="F289" s="5">
        <f>AVERAGE(All_India_Index_Upto_April23__1___1[[#This Row],[Pan, tobacco and intoxicants]])</f>
        <v>184.6</v>
      </c>
      <c r="G289" s="4">
        <f>AVERAGE(All_India_Index_Upto_April23__1___1[[#This Row],[Clothing]:[Clothing and footwear]])</f>
        <v>155.56666666666666</v>
      </c>
      <c r="H289" s="5">
        <f>AVERAGE(All_India_Index_Upto_April23__1___1[[#This Row],[Housing]:[Fuel and light]])</f>
        <v>150.9</v>
      </c>
      <c r="I289" s="5">
        <f>AVERAGE(All_India_Index_Upto_April23__1___1[[#This Row],[Household goods and services]:[Health]])</f>
        <v>158.19999999999999</v>
      </c>
      <c r="J289" s="5">
        <f>AVERAGE(All_India_Index_Upto_April23__1___1[[#This Row],[Transport and communication]])</f>
        <v>147.5</v>
      </c>
      <c r="K289" s="5">
        <f>AVERAGE(All_India_Index_Upto_April23__1___1[[#This Row],[Recreation and amusement]])</f>
        <v>155.1</v>
      </c>
      <c r="L289" s="5">
        <f>AVERAGE(All_India_Index_Upto_April23__1___1[[#This Row],[Education]])</f>
        <v>163.5</v>
      </c>
      <c r="M289" s="5">
        <f>AVERAGE(All_India_Index_Upto_April23__1___1[[#This Row],[Personal care and effects]])</f>
        <v>156.19999999999999</v>
      </c>
      <c r="N289" s="5">
        <f>AVERAGE(All_India_Index_Upto_April23__1___1[[#This Row],[Miscellaneous]])</f>
        <v>155.9</v>
      </c>
      <c r="O289" s="5">
        <f>AVERAGE(All_India_Index_Upto_April23__1___1[[#This Row],[General index]])</f>
        <v>158.5</v>
      </c>
      <c r="P289" s="2">
        <f t="shared" si="63"/>
        <v>1430.4666666666667</v>
      </c>
      <c r="R289" s="10">
        <f t="shared" si="54"/>
        <v>11.108263037703312</v>
      </c>
      <c r="S289" s="10">
        <f t="shared" si="55"/>
        <v>12.904879526494851</v>
      </c>
      <c r="T289" s="10">
        <f t="shared" si="56"/>
        <v>10.875238849792607</v>
      </c>
      <c r="U289" s="10">
        <f t="shared" si="57"/>
        <v>10.549004986717621</v>
      </c>
      <c r="V289" s="10">
        <f t="shared" si="58"/>
        <v>11.059327958242065</v>
      </c>
      <c r="W289" s="10">
        <f t="shared" si="59"/>
        <v>10.311320315048702</v>
      </c>
      <c r="X289" s="10">
        <f t="shared" si="60"/>
        <v>10.842615463485108</v>
      </c>
      <c r="Y289" s="10">
        <f t="shared" si="61"/>
        <v>11.429836417020086</v>
      </c>
      <c r="Z289" s="10">
        <f t="shared" si="62"/>
        <v>10.919513445495642</v>
      </c>
    </row>
    <row r="290" spans="1:26" hidden="1" x14ac:dyDescent="0.3">
      <c r="A290" s="6" t="s">
        <v>32</v>
      </c>
      <c r="B290" s="6">
        <v>2021</v>
      </c>
      <c r="C290" s="6" t="s">
        <v>31</v>
      </c>
      <c r="D290" s="21">
        <f t="shared" si="53"/>
        <v>44197</v>
      </c>
      <c r="E290" s="4">
        <f>AVERAGE(All_India_Index_Upto_April23__1___1[[#This Row],[Cereals and products]:[Food and beverages]])</f>
        <v>161.30769230769232</v>
      </c>
      <c r="F290" s="5">
        <f>AVERAGE(All_India_Index_Upto_April23__1___1[[#This Row],[Pan, tobacco and intoxicants]])</f>
        <v>191.8</v>
      </c>
      <c r="G290" s="4">
        <f>AVERAGE(All_India_Index_Upto_April23__1___1[[#This Row],[Clothing]:[Clothing and footwear]])</f>
        <v>146.66666666666666</v>
      </c>
      <c r="H290" s="5">
        <f>AVERAGE(All_India_Index_Upto_April23__1___1[[#This Row],[Housing]:[Fuel and light]])</f>
        <v>142.9</v>
      </c>
      <c r="I290" s="5">
        <f>AVERAGE(All_India_Index_Upto_April23__1___1[[#This Row],[Household goods and services]:[Health]])</f>
        <v>149.89999999999998</v>
      </c>
      <c r="J290" s="5">
        <f>AVERAGE(All_India_Index_Upto_April23__1___1[[#This Row],[Transport and communication]])</f>
        <v>136.9</v>
      </c>
      <c r="K290" s="5">
        <f>AVERAGE(All_India_Index_Upto_April23__1___1[[#This Row],[Recreation and amusement]])</f>
        <v>145.4</v>
      </c>
      <c r="L290" s="5">
        <f>AVERAGE(All_India_Index_Upto_April23__1___1[[#This Row],[Education]])</f>
        <v>156.1</v>
      </c>
      <c r="M290" s="5">
        <f>AVERAGE(All_India_Index_Upto_April23__1___1[[#This Row],[Personal care and effects]])</f>
        <v>157.69999999999999</v>
      </c>
      <c r="N290" s="5">
        <f>AVERAGE(All_India_Index_Upto_April23__1___1[[#This Row],[Miscellaneous]])</f>
        <v>147.6</v>
      </c>
      <c r="O290" s="5">
        <f>AVERAGE(All_India_Index_Upto_April23__1___1[[#This Row],[General index]])</f>
        <v>156</v>
      </c>
      <c r="P290" s="2">
        <f t="shared" si="63"/>
        <v>1388.6743589743589</v>
      </c>
      <c r="R290" s="10">
        <f t="shared" si="54"/>
        <v>11.615948063362405</v>
      </c>
      <c r="S290" s="10">
        <f t="shared" si="55"/>
        <v>13.81173338158694</v>
      </c>
      <c r="T290" s="10">
        <f t="shared" si="56"/>
        <v>10.561631365829429</v>
      </c>
      <c r="U290" s="10">
        <f t="shared" si="57"/>
        <v>10.290389469388812</v>
      </c>
      <c r="V290" s="10">
        <f t="shared" si="58"/>
        <v>10.794467330030667</v>
      </c>
      <c r="W290" s="10">
        <f t="shared" si="59"/>
        <v>9.8583227316957878</v>
      </c>
      <c r="X290" s="10">
        <f t="shared" si="60"/>
        <v>10.470417276760903</v>
      </c>
      <c r="Y290" s="10">
        <f t="shared" si="61"/>
        <v>11.240936292313458</v>
      </c>
      <c r="Z290" s="10">
        <f t="shared" si="62"/>
        <v>11.356154089031598</v>
      </c>
    </row>
    <row r="291" spans="1:26" x14ac:dyDescent="0.3">
      <c r="A291" s="5" t="s">
        <v>34</v>
      </c>
      <c r="B291" s="5">
        <v>2021</v>
      </c>
      <c r="C291" s="5" t="s">
        <v>31</v>
      </c>
      <c r="D291" s="21">
        <f t="shared" si="53"/>
        <v>44197</v>
      </c>
      <c r="E291" s="4">
        <f>AVERAGE(All_India_Index_Upto_April23__1___1[[#This Row],[Cereals and products]:[Food and beverages]])</f>
        <v>159.73076923076923</v>
      </c>
      <c r="F291" s="5">
        <f>AVERAGE(All_India_Index_Upto_April23__1___1[[#This Row],[Pan, tobacco and intoxicants]])</f>
        <v>186.5</v>
      </c>
      <c r="G291" s="4">
        <f>AVERAGE(All_India_Index_Upto_April23__1___1[[#This Row],[Clothing]:[Clothing and footwear]])</f>
        <v>151.93333333333334</v>
      </c>
      <c r="H291" s="5">
        <f>AVERAGE(All_India_Index_Upto_April23__1___1[[#This Row],[Housing]:[Fuel and light]])</f>
        <v>147.9</v>
      </c>
      <c r="I291" s="5">
        <f>AVERAGE(All_India_Index_Upto_April23__1___1[[#This Row],[Household goods and services]:[Health]])</f>
        <v>154.65</v>
      </c>
      <c r="J291" s="5">
        <f>AVERAGE(All_India_Index_Upto_April23__1___1[[#This Row],[Transport and communication]])</f>
        <v>141.9</v>
      </c>
      <c r="K291" s="5">
        <f>AVERAGE(All_India_Index_Upto_April23__1___1[[#This Row],[Recreation and amusement]])</f>
        <v>149.6</v>
      </c>
      <c r="L291" s="5">
        <f>AVERAGE(All_India_Index_Upto_April23__1___1[[#This Row],[Education]])</f>
        <v>159.19999999999999</v>
      </c>
      <c r="M291" s="5">
        <f>AVERAGE(All_India_Index_Upto_April23__1___1[[#This Row],[Personal care and effects]])</f>
        <v>156.80000000000001</v>
      </c>
      <c r="N291" s="5">
        <f>AVERAGE(All_India_Index_Upto_April23__1___1[[#This Row],[Miscellaneous]])</f>
        <v>151.9</v>
      </c>
      <c r="O291" s="5">
        <f>AVERAGE(All_India_Index_Upto_April23__1___1[[#This Row],[General index]])</f>
        <v>157.30000000000001</v>
      </c>
      <c r="P291" s="2">
        <f>AVERAGE(E291:N291)</f>
        <v>156.01141025641024</v>
      </c>
      <c r="R291" s="10">
        <f t="shared" si="54"/>
        <v>102.38403009641802</v>
      </c>
      <c r="S291" s="10">
        <f t="shared" si="55"/>
        <v>119.54253839092968</v>
      </c>
      <c r="T291" s="10">
        <f t="shared" si="56"/>
        <v>97.386039318294451</v>
      </c>
      <c r="U291" s="10">
        <f t="shared" si="57"/>
        <v>94.800758327176936</v>
      </c>
      <c r="V291" s="10">
        <f t="shared" si="58"/>
        <v>99.127364944543018</v>
      </c>
      <c r="W291" s="10">
        <f t="shared" si="59"/>
        <v>90.954885778407075</v>
      </c>
      <c r="X291" s="10">
        <f t="shared" si="60"/>
        <v>95.890422215995059</v>
      </c>
      <c r="Y291" s="10">
        <f t="shared" si="61"/>
        <v>102.04381829402682</v>
      </c>
      <c r="Z291" s="10">
        <f t="shared" si="62"/>
        <v>100.50546927451889</v>
      </c>
    </row>
    <row r="292" spans="1:26" hidden="1" x14ac:dyDescent="0.3">
      <c r="A292" s="6" t="s">
        <v>30</v>
      </c>
      <c r="B292" s="6">
        <v>2021</v>
      </c>
      <c r="C292" s="6" t="s">
        <v>35</v>
      </c>
      <c r="D292" s="21">
        <f t="shared" si="53"/>
        <v>44228</v>
      </c>
      <c r="E292" s="4">
        <f>AVERAGE(All_India_Index_Upto_April23__1___1[[#This Row],[Cereals and products]:[Food and beverages]])</f>
        <v>155.7923076923077</v>
      </c>
      <c r="F292" s="5">
        <f>AVERAGE(All_India_Index_Upto_April23__1___1[[#This Row],[Pan, tobacco and intoxicants]])</f>
        <v>186.5</v>
      </c>
      <c r="G292" s="4">
        <f>AVERAGE(All_India_Index_Upto_April23__1___1[[#This Row],[Clothing]:[Clothing and footwear]])</f>
        <v>157.13333333333333</v>
      </c>
      <c r="H292" s="5">
        <f>AVERAGE(All_India_Index_Upto_April23__1___1[[#This Row],[Housing]:[Fuel and light]])</f>
        <v>154.4</v>
      </c>
      <c r="I292" s="5">
        <f>AVERAGE(All_India_Index_Upto_April23__1___1[[#This Row],[Household goods and services]:[Health]])</f>
        <v>159.55000000000001</v>
      </c>
      <c r="J292" s="5">
        <f>AVERAGE(All_India_Index_Upto_April23__1___1[[#This Row],[Transport and communication]])</f>
        <v>150.19999999999999</v>
      </c>
      <c r="K292" s="5">
        <f>AVERAGE(All_India_Index_Upto_April23__1___1[[#This Row],[Recreation and amusement]])</f>
        <v>157</v>
      </c>
      <c r="L292" s="5">
        <f>AVERAGE(All_India_Index_Upto_April23__1___1[[#This Row],[Education]])</f>
        <v>163.6</v>
      </c>
      <c r="M292" s="5">
        <f>AVERAGE(All_India_Index_Upto_April23__1___1[[#This Row],[Personal care and effects]])</f>
        <v>155.19999999999999</v>
      </c>
      <c r="N292" s="5">
        <f>AVERAGE(All_India_Index_Upto_April23__1___1[[#This Row],[Miscellaneous]])</f>
        <v>157.19999999999999</v>
      </c>
      <c r="O292" s="5">
        <f>AVERAGE(All_India_Index_Upto_April23__1___1[[#This Row],[General index]])</f>
        <v>156.69999999999999</v>
      </c>
      <c r="P292" s="2">
        <f t="shared" si="63"/>
        <v>1439.375641025641</v>
      </c>
      <c r="R292" s="10">
        <f t="shared" si="54"/>
        <v>10.823603182647748</v>
      </c>
      <c r="S292" s="10">
        <f t="shared" si="55"/>
        <v>12.9570068218681</v>
      </c>
      <c r="T292" s="10">
        <f t="shared" si="56"/>
        <v>10.916770358943024</v>
      </c>
      <c r="U292" s="10">
        <f t="shared" si="57"/>
        <v>10.726873208023777</v>
      </c>
      <c r="V292" s="10">
        <f t="shared" si="58"/>
        <v>11.084667230182603</v>
      </c>
      <c r="W292" s="10">
        <f t="shared" si="59"/>
        <v>10.435080024903961</v>
      </c>
      <c r="X292" s="10">
        <f t="shared" si="60"/>
        <v>10.907507083288428</v>
      </c>
      <c r="Y292" s="10">
        <f t="shared" si="61"/>
        <v>11.366039228190997</v>
      </c>
      <c r="Z292" s="10">
        <f t="shared" si="62"/>
        <v>10.782452861951363</v>
      </c>
    </row>
    <row r="293" spans="1:26" hidden="1" x14ac:dyDescent="0.3">
      <c r="A293" s="5" t="s">
        <v>32</v>
      </c>
      <c r="B293" s="5">
        <v>2021</v>
      </c>
      <c r="C293" s="5" t="s">
        <v>35</v>
      </c>
      <c r="D293" s="21">
        <f t="shared" si="53"/>
        <v>44228</v>
      </c>
      <c r="E293" s="4">
        <f>AVERAGE(All_India_Index_Upto_April23__1___1[[#This Row],[Cereals and products]:[Food and beverages]])</f>
        <v>158.92307692307693</v>
      </c>
      <c r="F293" s="5">
        <f>AVERAGE(All_India_Index_Upto_April23__1___1[[#This Row],[Pan, tobacco and intoxicants]])</f>
        <v>193.3</v>
      </c>
      <c r="G293" s="4">
        <f>AVERAGE(All_India_Index_Upto_April23__1___1[[#This Row],[Clothing]:[Clothing and footwear]])</f>
        <v>148.06666666666666</v>
      </c>
      <c r="H293" s="5">
        <f>AVERAGE(All_India_Index_Upto_April23__1___1[[#This Row],[Housing]:[Fuel and light]])</f>
        <v>149.1</v>
      </c>
      <c r="I293" s="5">
        <f>AVERAGE(All_India_Index_Upto_April23__1___1[[#This Row],[Household goods and services]:[Health]])</f>
        <v>151.4</v>
      </c>
      <c r="J293" s="5">
        <f>AVERAGE(All_India_Index_Upto_April23__1___1[[#This Row],[Transport and communication]])</f>
        <v>140.5</v>
      </c>
      <c r="K293" s="5">
        <f>AVERAGE(All_India_Index_Upto_April23__1___1[[#This Row],[Recreation and amusement]])</f>
        <v>147.30000000000001</v>
      </c>
      <c r="L293" s="5">
        <f>AVERAGE(All_India_Index_Upto_April23__1___1[[#This Row],[Education]])</f>
        <v>156.6</v>
      </c>
      <c r="M293" s="5">
        <f>AVERAGE(All_India_Index_Upto_April23__1___1[[#This Row],[Personal care and effects]])</f>
        <v>156.69999999999999</v>
      </c>
      <c r="N293" s="5">
        <f>AVERAGE(All_India_Index_Upto_April23__1___1[[#This Row],[Miscellaneous]])</f>
        <v>149.30000000000001</v>
      </c>
      <c r="O293" s="5">
        <f>AVERAGE(All_India_Index_Upto_April23__1___1[[#This Row],[General index]])</f>
        <v>156.5</v>
      </c>
      <c r="P293" s="2">
        <f t="shared" si="63"/>
        <v>1401.8897435897436</v>
      </c>
      <c r="R293" s="10">
        <f t="shared" si="54"/>
        <v>11.336346360315838</v>
      </c>
      <c r="S293" s="10">
        <f t="shared" si="55"/>
        <v>13.788530865845919</v>
      </c>
      <c r="T293" s="10">
        <f t="shared" si="56"/>
        <v>10.561933799980611</v>
      </c>
      <c r="U293" s="10">
        <f t="shared" si="57"/>
        <v>10.6356438287513</v>
      </c>
      <c r="V293" s="10">
        <f t="shared" si="58"/>
        <v>10.799708086337672</v>
      </c>
      <c r="W293" s="10">
        <f t="shared" si="59"/>
        <v>10.022186169950086</v>
      </c>
      <c r="X293" s="10">
        <f t="shared" si="60"/>
        <v>10.50724571411849</v>
      </c>
      <c r="Y293" s="10">
        <f t="shared" si="61"/>
        <v>11.170635973054686</v>
      </c>
      <c r="Z293" s="10">
        <f t="shared" si="62"/>
        <v>11.177769201645397</v>
      </c>
    </row>
    <row r="294" spans="1:26" x14ac:dyDescent="0.3">
      <c r="A294" s="6" t="s">
        <v>34</v>
      </c>
      <c r="B294" s="6">
        <v>2021</v>
      </c>
      <c r="C294" s="6" t="s">
        <v>35</v>
      </c>
      <c r="D294" s="21">
        <f t="shared" si="53"/>
        <v>44228</v>
      </c>
      <c r="E294" s="4">
        <f>AVERAGE(All_India_Index_Upto_April23__1___1[[#This Row],[Cereals and products]:[Food and beverages]])</f>
        <v>156.8692307692308</v>
      </c>
      <c r="F294" s="5">
        <f>AVERAGE(All_India_Index_Upto_April23__1___1[[#This Row],[Pan, tobacco and intoxicants]])</f>
        <v>188.3</v>
      </c>
      <c r="G294" s="4">
        <f>AVERAGE(All_India_Index_Upto_April23__1___1[[#This Row],[Clothing]:[Clothing and footwear]])</f>
        <v>153.46666666666667</v>
      </c>
      <c r="H294" s="5">
        <f>AVERAGE(All_India_Index_Upto_April23__1___1[[#This Row],[Housing]:[Fuel and light]])</f>
        <v>152.4</v>
      </c>
      <c r="I294" s="5">
        <f>AVERAGE(All_India_Index_Upto_April23__1___1[[#This Row],[Household goods and services]:[Health]])</f>
        <v>156.10000000000002</v>
      </c>
      <c r="J294" s="5">
        <f>AVERAGE(All_India_Index_Upto_April23__1___1[[#This Row],[Transport and communication]])</f>
        <v>145.1</v>
      </c>
      <c r="K294" s="5">
        <f>AVERAGE(All_India_Index_Upto_April23__1___1[[#This Row],[Recreation and amusement]])</f>
        <v>151.5</v>
      </c>
      <c r="L294" s="5">
        <f>AVERAGE(All_India_Index_Upto_April23__1___1[[#This Row],[Education]])</f>
        <v>159.5</v>
      </c>
      <c r="M294" s="5">
        <f>AVERAGE(All_India_Index_Upto_April23__1___1[[#This Row],[Personal care and effects]])</f>
        <v>155.80000000000001</v>
      </c>
      <c r="N294" s="5">
        <f>AVERAGE(All_India_Index_Upto_April23__1___1[[#This Row],[Miscellaneous]])</f>
        <v>153.4</v>
      </c>
      <c r="O294" s="5">
        <f>AVERAGE(All_India_Index_Upto_April23__1___1[[#This Row],[General index]])</f>
        <v>156.6</v>
      </c>
      <c r="P294" s="2">
        <f>AVERAGE(E294:N294)</f>
        <v>157.24358974358978</v>
      </c>
      <c r="R294" s="10">
        <f t="shared" si="54"/>
        <v>99.761924174480214</v>
      </c>
      <c r="S294" s="10">
        <f t="shared" si="55"/>
        <v>119.75050958010598</v>
      </c>
      <c r="T294" s="10">
        <f t="shared" si="56"/>
        <v>97.598043212392966</v>
      </c>
      <c r="U294" s="10">
        <f t="shared" si="57"/>
        <v>96.919690175295543</v>
      </c>
      <c r="V294" s="10">
        <f t="shared" si="58"/>
        <v>99.272727272727266</v>
      </c>
      <c r="W294" s="10">
        <f t="shared" si="59"/>
        <v>92.277211577659983</v>
      </c>
      <c r="X294" s="10">
        <f t="shared" si="60"/>
        <v>96.34732980024458</v>
      </c>
      <c r="Y294" s="10">
        <f t="shared" si="61"/>
        <v>101.4349775784753</v>
      </c>
      <c r="Z294" s="10">
        <f t="shared" si="62"/>
        <v>99.081940481043603</v>
      </c>
    </row>
    <row r="295" spans="1:26" hidden="1" x14ac:dyDescent="0.3">
      <c r="A295" s="5" t="s">
        <v>30</v>
      </c>
      <c r="B295" s="5">
        <v>2021</v>
      </c>
      <c r="C295" s="5" t="s">
        <v>37</v>
      </c>
      <c r="D295" s="21">
        <f t="shared" si="53"/>
        <v>44256</v>
      </c>
      <c r="E295" s="4">
        <f>AVERAGE(All_India_Index_Upto_April23__1___1[[#This Row],[Cereals and products]:[Food and beverages]])</f>
        <v>155.82307692307694</v>
      </c>
      <c r="F295" s="5">
        <f>AVERAGE(All_India_Index_Upto_April23__1___1[[#This Row],[Pan, tobacco and intoxicants]])</f>
        <v>186.1</v>
      </c>
      <c r="G295" s="4">
        <f>AVERAGE(All_India_Index_Upto_April23__1___1[[#This Row],[Clothing]:[Clothing and footwear]])</f>
        <v>157.63333333333333</v>
      </c>
      <c r="H295" s="5">
        <f>AVERAGE(All_India_Index_Upto_April23__1___1[[#This Row],[Housing]:[Fuel and light]])</f>
        <v>156</v>
      </c>
      <c r="I295" s="5">
        <f>AVERAGE(All_India_Index_Upto_April23__1___1[[#This Row],[Household goods and services]:[Health]])</f>
        <v>159.69999999999999</v>
      </c>
      <c r="J295" s="5">
        <f>AVERAGE(All_India_Index_Upto_April23__1___1[[#This Row],[Transport and communication]])</f>
        <v>151.30000000000001</v>
      </c>
      <c r="K295" s="5">
        <f>AVERAGE(All_India_Index_Upto_April23__1___1[[#This Row],[Recreation and amusement]])</f>
        <v>157.80000000000001</v>
      </c>
      <c r="L295" s="5">
        <f>AVERAGE(All_India_Index_Upto_April23__1___1[[#This Row],[Education]])</f>
        <v>163.80000000000001</v>
      </c>
      <c r="M295" s="5">
        <f>AVERAGE(All_India_Index_Upto_April23__1___1[[#This Row],[Personal care and effects]])</f>
        <v>153.1</v>
      </c>
      <c r="N295" s="5">
        <f>AVERAGE(All_India_Index_Upto_April23__1___1[[#This Row],[Miscellaneous]])</f>
        <v>157.30000000000001</v>
      </c>
      <c r="O295" s="5">
        <f>AVERAGE(All_India_Index_Upto_April23__1___1[[#This Row],[General index]])</f>
        <v>156.69999999999999</v>
      </c>
      <c r="P295" s="2">
        <f t="shared" si="63"/>
        <v>1441.2564102564099</v>
      </c>
      <c r="R295" s="10">
        <f t="shared" si="54"/>
        <v>10.811613798502023</v>
      </c>
      <c r="S295" s="10">
        <f t="shared" si="55"/>
        <v>12.912344998131974</v>
      </c>
      <c r="T295" s="10">
        <f t="shared" si="56"/>
        <v>10.93721645999751</v>
      </c>
      <c r="U295" s="10">
        <f t="shared" si="57"/>
        <v>10.823889412727501</v>
      </c>
      <c r="V295" s="10">
        <f t="shared" si="58"/>
        <v>11.08060986674732</v>
      </c>
      <c r="W295" s="10">
        <f t="shared" si="59"/>
        <v>10.497785052215841</v>
      </c>
      <c r="X295" s="10">
        <f t="shared" si="60"/>
        <v>10.948780444412821</v>
      </c>
      <c r="Y295" s="10">
        <f t="shared" si="61"/>
        <v>11.365083883363877</v>
      </c>
      <c r="Z295" s="10">
        <f t="shared" si="62"/>
        <v>10.622676083901156</v>
      </c>
    </row>
    <row r="296" spans="1:26" hidden="1" x14ac:dyDescent="0.3">
      <c r="A296" s="6" t="s">
        <v>32</v>
      </c>
      <c r="B296" s="6">
        <v>2021</v>
      </c>
      <c r="C296" s="6" t="s">
        <v>37</v>
      </c>
      <c r="D296" s="21">
        <f t="shared" si="53"/>
        <v>44256</v>
      </c>
      <c r="E296" s="4">
        <f>AVERAGE(All_India_Index_Upto_April23__1___1[[#This Row],[Cereals and products]:[Food and beverages]])</f>
        <v>158.80769230769226</v>
      </c>
      <c r="F296" s="5">
        <f>AVERAGE(All_India_Index_Upto_April23__1___1[[#This Row],[Pan, tobacco and intoxicants]])</f>
        <v>193.5</v>
      </c>
      <c r="G296" s="4">
        <f>AVERAGE(All_India_Index_Upto_April23__1___1[[#This Row],[Clothing]:[Clothing and footwear]])</f>
        <v>148.79999999999998</v>
      </c>
      <c r="H296" s="5">
        <f>AVERAGE(All_India_Index_Upto_April23__1___1[[#This Row],[Housing]:[Fuel and light]])</f>
        <v>154.80000000000001</v>
      </c>
      <c r="I296" s="5">
        <f>AVERAGE(All_India_Index_Upto_April23__1___1[[#This Row],[Household goods and services]:[Health]])</f>
        <v>152.05000000000001</v>
      </c>
      <c r="J296" s="5">
        <f>AVERAGE(All_India_Index_Upto_April23__1___1[[#This Row],[Transport and communication]])</f>
        <v>141.69999999999999</v>
      </c>
      <c r="K296" s="5">
        <f>AVERAGE(All_India_Index_Upto_April23__1___1[[#This Row],[Recreation and amusement]])</f>
        <v>148.6</v>
      </c>
      <c r="L296" s="5">
        <f>AVERAGE(All_India_Index_Upto_April23__1___1[[#This Row],[Education]])</f>
        <v>157.6</v>
      </c>
      <c r="M296" s="5">
        <f>AVERAGE(All_India_Index_Upto_April23__1___1[[#This Row],[Personal care and effects]])</f>
        <v>154.9</v>
      </c>
      <c r="N296" s="5">
        <f>AVERAGE(All_India_Index_Upto_April23__1___1[[#This Row],[Miscellaneous]])</f>
        <v>150</v>
      </c>
      <c r="O296" s="5">
        <f>AVERAGE(All_India_Index_Upto_April23__1___1[[#This Row],[General index]])</f>
        <v>156.9</v>
      </c>
      <c r="P296" s="2">
        <f t="shared" si="63"/>
        <v>1410.7576923076922</v>
      </c>
      <c r="R296" s="10">
        <f t="shared" si="54"/>
        <v>11.256907771873815</v>
      </c>
      <c r="S296" s="10">
        <f t="shared" si="55"/>
        <v>13.716033664397475</v>
      </c>
      <c r="T296" s="10">
        <f t="shared" si="56"/>
        <v>10.547523562079297</v>
      </c>
      <c r="U296" s="10">
        <f t="shared" si="57"/>
        <v>10.97282693151798</v>
      </c>
      <c r="V296" s="10">
        <f t="shared" si="58"/>
        <v>10.777896220525252</v>
      </c>
      <c r="W296" s="10">
        <f t="shared" si="59"/>
        <v>10.044247908243523</v>
      </c>
      <c r="X296" s="10">
        <f t="shared" si="60"/>
        <v>10.533346783098008</v>
      </c>
      <c r="Y296" s="10">
        <f t="shared" si="61"/>
        <v>11.17130183725603</v>
      </c>
      <c r="Z296" s="10">
        <f t="shared" si="62"/>
        <v>10.979915321008624</v>
      </c>
    </row>
    <row r="297" spans="1:26" x14ac:dyDescent="0.3">
      <c r="A297" s="5" t="s">
        <v>34</v>
      </c>
      <c r="B297" s="5">
        <v>2021</v>
      </c>
      <c r="C297" s="5" t="s">
        <v>37</v>
      </c>
      <c r="D297" s="21">
        <f t="shared" si="53"/>
        <v>44256</v>
      </c>
      <c r="E297" s="4">
        <f>AVERAGE(All_India_Index_Upto_April23__1___1[[#This Row],[Cereals and products]:[Food and beverages]])</f>
        <v>156.87692307692308</v>
      </c>
      <c r="F297" s="5">
        <f>AVERAGE(All_India_Index_Upto_April23__1___1[[#This Row],[Pan, tobacco and intoxicants]])</f>
        <v>188.1</v>
      </c>
      <c r="G297" s="4">
        <f>AVERAGE(All_India_Index_Upto_April23__1___1[[#This Row],[Clothing]:[Clothing and footwear]])</f>
        <v>154.03333333333333</v>
      </c>
      <c r="H297" s="5">
        <f>AVERAGE(All_India_Index_Upto_April23__1___1[[#This Row],[Housing]:[Fuel and light]])</f>
        <v>155.5</v>
      </c>
      <c r="I297" s="5">
        <f>AVERAGE(All_India_Index_Upto_April23__1___1[[#This Row],[Household goods and services]:[Health]])</f>
        <v>156.44999999999999</v>
      </c>
      <c r="J297" s="5">
        <f>AVERAGE(All_India_Index_Upto_April23__1___1[[#This Row],[Transport and communication]])</f>
        <v>146.19999999999999</v>
      </c>
      <c r="K297" s="5">
        <f>AVERAGE(All_India_Index_Upto_April23__1___1[[#This Row],[Recreation and amusement]])</f>
        <v>152.6</v>
      </c>
      <c r="L297" s="5">
        <f>AVERAGE(All_India_Index_Upto_April23__1___1[[#This Row],[Education]])</f>
        <v>160.19999999999999</v>
      </c>
      <c r="M297" s="5">
        <f>AVERAGE(All_India_Index_Upto_April23__1___1[[#This Row],[Personal care and effects]])</f>
        <v>153.80000000000001</v>
      </c>
      <c r="N297" s="5">
        <f>AVERAGE(All_India_Index_Upto_April23__1___1[[#This Row],[Miscellaneous]])</f>
        <v>153.80000000000001</v>
      </c>
      <c r="O297" s="5">
        <f>AVERAGE(All_India_Index_Upto_April23__1___1[[#This Row],[General index]])</f>
        <v>156.80000000000001</v>
      </c>
      <c r="P297" s="2">
        <f>AVERAGE(E297:N297)</f>
        <v>157.75602564102562</v>
      </c>
      <c r="R297" s="10">
        <f t="shared" si="54"/>
        <v>99.442745492268585</v>
      </c>
      <c r="S297" s="10">
        <f t="shared" si="55"/>
        <v>119.23474823587543</v>
      </c>
      <c r="T297" s="10">
        <f t="shared" si="56"/>
        <v>97.640221796558649</v>
      </c>
      <c r="U297" s="10">
        <f t="shared" si="57"/>
        <v>98.569927435824724</v>
      </c>
      <c r="V297" s="10">
        <f t="shared" si="58"/>
        <v>99.172123133985707</v>
      </c>
      <c r="W297" s="10">
        <f t="shared" si="59"/>
        <v>92.67474849593296</v>
      </c>
      <c r="X297" s="10">
        <f t="shared" si="60"/>
        <v>96.731645830912242</v>
      </c>
      <c r="Y297" s="10">
        <f t="shared" si="61"/>
        <v>101.54921141620012</v>
      </c>
      <c r="Z297" s="10">
        <f t="shared" si="62"/>
        <v>97.492314081220869</v>
      </c>
    </row>
    <row r="298" spans="1:26" hidden="1" x14ac:dyDescent="0.3">
      <c r="A298" s="6" t="s">
        <v>30</v>
      </c>
      <c r="B298" s="6">
        <v>2021</v>
      </c>
      <c r="C298" s="6" t="s">
        <v>38</v>
      </c>
      <c r="D298" s="21">
        <f t="shared" si="53"/>
        <v>44287</v>
      </c>
      <c r="E298" s="4">
        <f>AVERAGE(All_India_Index_Upto_April23__1___1[[#This Row],[Cereals and products]:[Food and beverages]])</f>
        <v>157.65384615384616</v>
      </c>
      <c r="F298" s="5">
        <f>AVERAGE(All_India_Index_Upto_April23__1___1[[#This Row],[Pan, tobacco and intoxicants]])</f>
        <v>186.8</v>
      </c>
      <c r="G298" s="4">
        <f>AVERAGE(All_India_Index_Upto_April23__1___1[[#This Row],[Clothing]:[Clothing and footwear]])</f>
        <v>158.56666666666663</v>
      </c>
      <c r="H298" s="5">
        <f>AVERAGE(All_India_Index_Upto_April23__1___1[[#This Row],[Housing]:[Fuel and light]])</f>
        <v>156</v>
      </c>
      <c r="I298" s="5">
        <f>AVERAGE(All_India_Index_Upto_April23__1___1[[#This Row],[Household goods and services]:[Health]])</f>
        <v>160.4</v>
      </c>
      <c r="J298" s="5">
        <f>AVERAGE(All_India_Index_Upto_April23__1___1[[#This Row],[Transport and communication]])</f>
        <v>151.69999999999999</v>
      </c>
      <c r="K298" s="5">
        <f>AVERAGE(All_India_Index_Upto_April23__1___1[[#This Row],[Recreation and amusement]])</f>
        <v>158.6</v>
      </c>
      <c r="L298" s="5">
        <f>AVERAGE(All_India_Index_Upto_April23__1___1[[#This Row],[Education]])</f>
        <v>164.1</v>
      </c>
      <c r="M298" s="5">
        <f>AVERAGE(All_India_Index_Upto_April23__1___1[[#This Row],[Personal care and effects]])</f>
        <v>154.6</v>
      </c>
      <c r="N298" s="5">
        <f>AVERAGE(All_India_Index_Upto_April23__1___1[[#This Row],[Miscellaneous]])</f>
        <v>158</v>
      </c>
      <c r="O298" s="5">
        <f>AVERAGE(All_India_Index_Upto_April23__1___1[[#This Row],[General index]])</f>
        <v>157.6</v>
      </c>
      <c r="P298" s="2">
        <f t="shared" si="63"/>
        <v>1448.4205128205124</v>
      </c>
      <c r="R298" s="10">
        <f t="shared" si="54"/>
        <v>10.884535586067232</v>
      </c>
      <c r="S298" s="10">
        <f t="shared" si="55"/>
        <v>12.89680713208376</v>
      </c>
      <c r="T298" s="10">
        <f t="shared" si="56"/>
        <v>10.947557374611426</v>
      </c>
      <c r="U298" s="10">
        <f t="shared" si="57"/>
        <v>10.770352851204851</v>
      </c>
      <c r="V298" s="10">
        <f t="shared" si="58"/>
        <v>11.074132034187553</v>
      </c>
      <c r="W298" s="10">
        <f t="shared" si="59"/>
        <v>10.473477740562668</v>
      </c>
      <c r="X298" s="10">
        <f t="shared" si="60"/>
        <v>10.949858732058267</v>
      </c>
      <c r="Y298" s="10">
        <f t="shared" si="61"/>
        <v>11.329582710786642</v>
      </c>
      <c r="Z298" s="10">
        <f t="shared" si="62"/>
        <v>10.673695838437629</v>
      </c>
    </row>
    <row r="299" spans="1:26" hidden="1" x14ac:dyDescent="0.3">
      <c r="A299" s="5" t="s">
        <v>32</v>
      </c>
      <c r="B299" s="5">
        <v>2021</v>
      </c>
      <c r="C299" s="5" t="s">
        <v>38</v>
      </c>
      <c r="D299" s="21">
        <f t="shared" si="53"/>
        <v>44287</v>
      </c>
      <c r="E299" s="4">
        <f>AVERAGE(All_India_Index_Upto_April23__1___1[[#This Row],[Cereals and products]:[Food and beverages]])</f>
        <v>160.73846153846154</v>
      </c>
      <c r="F299" s="5">
        <f>AVERAGE(All_India_Index_Upto_April23__1___1[[#This Row],[Pan, tobacco and intoxicants]])</f>
        <v>194.4</v>
      </c>
      <c r="G299" s="4">
        <f>AVERAGE(All_India_Index_Upto_April23__1___1[[#This Row],[Clothing]:[Clothing and footwear]])</f>
        <v>149.53333333333333</v>
      </c>
      <c r="H299" s="5">
        <f>AVERAGE(All_India_Index_Upto_April23__1___1[[#This Row],[Housing]:[Fuel and light]])</f>
        <v>154.9</v>
      </c>
      <c r="I299" s="5">
        <f>AVERAGE(All_India_Index_Upto_April23__1___1[[#This Row],[Household goods and services]:[Health]])</f>
        <v>152.55000000000001</v>
      </c>
      <c r="J299" s="5">
        <f>AVERAGE(All_India_Index_Upto_April23__1___1[[#This Row],[Transport and communication]])</f>
        <v>142.1</v>
      </c>
      <c r="K299" s="5">
        <f>AVERAGE(All_India_Index_Upto_April23__1___1[[#This Row],[Recreation and amusement]])</f>
        <v>149.1</v>
      </c>
      <c r="L299" s="5">
        <f>AVERAGE(All_India_Index_Upto_April23__1___1[[#This Row],[Education]])</f>
        <v>157.6</v>
      </c>
      <c r="M299" s="5">
        <f>AVERAGE(All_India_Index_Upto_April23__1___1[[#This Row],[Personal care and effects]])</f>
        <v>156.6</v>
      </c>
      <c r="N299" s="5">
        <f>AVERAGE(All_India_Index_Upto_April23__1___1[[#This Row],[Miscellaneous]])</f>
        <v>150.5</v>
      </c>
      <c r="O299" s="5">
        <f>AVERAGE(All_India_Index_Upto_April23__1___1[[#This Row],[General index]])</f>
        <v>158</v>
      </c>
      <c r="P299" s="2">
        <f t="shared" si="63"/>
        <v>1417.5217948717948</v>
      </c>
      <c r="R299" s="10">
        <f t="shared" si="54"/>
        <v>11.339399656496939</v>
      </c>
      <c r="S299" s="10">
        <f t="shared" si="55"/>
        <v>13.714074852555067</v>
      </c>
      <c r="T299" s="10">
        <f t="shared" si="56"/>
        <v>10.548926575542184</v>
      </c>
      <c r="U299" s="10">
        <f t="shared" si="57"/>
        <v>10.927521577473147</v>
      </c>
      <c r="V299" s="10">
        <f t="shared" si="58"/>
        <v>10.761739294018906</v>
      </c>
      <c r="W299" s="10">
        <f t="shared" si="59"/>
        <v>10.024537225041536</v>
      </c>
      <c r="X299" s="10">
        <f t="shared" si="60"/>
        <v>10.518356792777572</v>
      </c>
      <c r="Y299" s="10">
        <f t="shared" si="61"/>
        <v>11.117994839314187</v>
      </c>
      <c r="Z299" s="10">
        <f t="shared" si="62"/>
        <v>11.047449186780469</v>
      </c>
    </row>
    <row r="300" spans="1:26" x14ac:dyDescent="0.3">
      <c r="A300" s="6" t="s">
        <v>34</v>
      </c>
      <c r="B300" s="6">
        <v>2021</v>
      </c>
      <c r="C300" s="6" t="s">
        <v>38</v>
      </c>
      <c r="D300" s="21">
        <f t="shared" si="53"/>
        <v>44287</v>
      </c>
      <c r="E300" s="4">
        <f>AVERAGE(All_India_Index_Upto_April23__1___1[[#This Row],[Cereals and products]:[Food and beverages]])</f>
        <v>158.77692307692308</v>
      </c>
      <c r="F300" s="5">
        <f>AVERAGE(All_India_Index_Upto_April23__1___1[[#This Row],[Pan, tobacco and intoxicants]])</f>
        <v>188.8</v>
      </c>
      <c r="G300" s="4">
        <f>AVERAGE(All_India_Index_Upto_April23__1___1[[#This Row],[Clothing]:[Clothing and footwear]])</f>
        <v>154.86666666666667</v>
      </c>
      <c r="H300" s="5">
        <f>AVERAGE(All_India_Index_Upto_April23__1___1[[#This Row],[Housing]:[Fuel and light]])</f>
        <v>155.6</v>
      </c>
      <c r="I300" s="5">
        <f>AVERAGE(All_India_Index_Upto_April23__1___1[[#This Row],[Household goods and services]:[Health]])</f>
        <v>157.05000000000001</v>
      </c>
      <c r="J300" s="5">
        <f>AVERAGE(All_India_Index_Upto_April23__1___1[[#This Row],[Transport and communication]])</f>
        <v>146.6</v>
      </c>
      <c r="K300" s="5">
        <f>AVERAGE(All_India_Index_Upto_April23__1___1[[#This Row],[Recreation and amusement]])</f>
        <v>153.19999999999999</v>
      </c>
      <c r="L300" s="5">
        <f>AVERAGE(All_India_Index_Upto_April23__1___1[[#This Row],[Education]])</f>
        <v>160.30000000000001</v>
      </c>
      <c r="M300" s="5">
        <f>AVERAGE(All_India_Index_Upto_April23__1___1[[#This Row],[Personal care and effects]])</f>
        <v>155.4</v>
      </c>
      <c r="N300" s="5">
        <f>AVERAGE(All_India_Index_Upto_April23__1___1[[#This Row],[Miscellaneous]])</f>
        <v>154.4</v>
      </c>
      <c r="O300" s="5">
        <f>AVERAGE(All_India_Index_Upto_April23__1___1[[#This Row],[General index]])</f>
        <v>157.80000000000001</v>
      </c>
      <c r="P300" s="2">
        <f>AVERAGE(E300:N300)</f>
        <v>158.49935897435898</v>
      </c>
      <c r="R300" s="10">
        <f t="shared" si="54"/>
        <v>100.17512001585382</v>
      </c>
      <c r="S300" s="10">
        <f t="shared" si="55"/>
        <v>119.11720099167269</v>
      </c>
      <c r="T300" s="10">
        <f t="shared" si="56"/>
        <v>97.708071293663721</v>
      </c>
      <c r="U300" s="10">
        <f t="shared" si="57"/>
        <v>98.170744037628552</v>
      </c>
      <c r="V300" s="10">
        <f t="shared" si="58"/>
        <v>99.085574235922664</v>
      </c>
      <c r="W300" s="10">
        <f t="shared" si="59"/>
        <v>92.49248763442381</v>
      </c>
      <c r="X300" s="10">
        <f t="shared" si="60"/>
        <v>96.656542330107285</v>
      </c>
      <c r="Y300" s="10">
        <f t="shared" si="61"/>
        <v>101.1360557148577</v>
      </c>
      <c r="Z300" s="10">
        <f t="shared" si="62"/>
        <v>98.044560562001777</v>
      </c>
    </row>
    <row r="301" spans="1:26" hidden="1" x14ac:dyDescent="0.3">
      <c r="A301" s="5" t="s">
        <v>30</v>
      </c>
      <c r="B301" s="5">
        <v>2021</v>
      </c>
      <c r="C301" s="5" t="s">
        <v>40</v>
      </c>
      <c r="D301" s="21">
        <f t="shared" si="53"/>
        <v>44317</v>
      </c>
      <c r="E301" s="4">
        <f>AVERAGE(All_India_Index_Upto_April23__1___1[[#This Row],[Cereals and products]:[Food and beverages]])</f>
        <v>161.17692307692306</v>
      </c>
      <c r="F301" s="5">
        <f>AVERAGE(All_India_Index_Upto_April23__1___1[[#This Row],[Pan, tobacco and intoxicants]])</f>
        <v>189.6</v>
      </c>
      <c r="G301" s="4">
        <f>AVERAGE(All_India_Index_Upto_April23__1___1[[#This Row],[Clothing]:[Clothing and footwear]])</f>
        <v>163.46666666666667</v>
      </c>
      <c r="H301" s="5">
        <f>AVERAGE(All_India_Index_Upto_April23__1___1[[#This Row],[Housing]:[Fuel and light]])</f>
        <v>161.69999999999999</v>
      </c>
      <c r="I301" s="5">
        <f>AVERAGE(All_India_Index_Upto_April23__1___1[[#This Row],[Household goods and services]:[Health]])</f>
        <v>163.95</v>
      </c>
      <c r="J301" s="5">
        <f>AVERAGE(All_India_Index_Upto_April23__1___1[[#This Row],[Transport and communication]])</f>
        <v>153.19999999999999</v>
      </c>
      <c r="K301" s="5">
        <f>AVERAGE(All_India_Index_Upto_April23__1___1[[#This Row],[Recreation and amusement]])</f>
        <v>160</v>
      </c>
      <c r="L301" s="5">
        <f>AVERAGE(All_India_Index_Upto_April23__1___1[[#This Row],[Education]])</f>
        <v>167.6</v>
      </c>
      <c r="M301" s="5">
        <f>AVERAGE(All_India_Index_Upto_April23__1___1[[#This Row],[Personal care and effects]])</f>
        <v>159.30000000000001</v>
      </c>
      <c r="N301" s="5">
        <f>AVERAGE(All_India_Index_Upto_April23__1___1[[#This Row],[Miscellaneous]])</f>
        <v>161.1</v>
      </c>
      <c r="O301" s="5">
        <f>AVERAGE(All_India_Index_Upto_April23__1___1[[#This Row],[General index]])</f>
        <v>161.1</v>
      </c>
      <c r="P301" s="2">
        <f t="shared" si="63"/>
        <v>1479.9935897435896</v>
      </c>
      <c r="R301" s="10">
        <f t="shared" si="54"/>
        <v>10.890379809337357</v>
      </c>
      <c r="S301" s="10">
        <f t="shared" si="55"/>
        <v>12.81086629793095</v>
      </c>
      <c r="T301" s="10">
        <f t="shared" si="56"/>
        <v>11.04509288415144</v>
      </c>
      <c r="U301" s="10">
        <f t="shared" si="57"/>
        <v>10.925722997760733</v>
      </c>
      <c r="V301" s="10">
        <f t="shared" si="58"/>
        <v>11.07775068325833</v>
      </c>
      <c r="W301" s="10">
        <f t="shared" si="59"/>
        <v>10.351396185880917</v>
      </c>
      <c r="X301" s="10">
        <f t="shared" si="60"/>
        <v>10.810857635384769</v>
      </c>
      <c r="Y301" s="10">
        <f t="shared" si="61"/>
        <v>11.324373373065546</v>
      </c>
      <c r="Z301" s="10">
        <f t="shared" si="62"/>
        <v>10.763560133229962</v>
      </c>
    </row>
    <row r="302" spans="1:26" hidden="1" x14ac:dyDescent="0.3">
      <c r="A302" s="6" t="s">
        <v>32</v>
      </c>
      <c r="B302" s="6">
        <v>2021</v>
      </c>
      <c r="C302" s="6" t="s">
        <v>40</v>
      </c>
      <c r="D302" s="21">
        <f t="shared" si="53"/>
        <v>44317</v>
      </c>
      <c r="E302" s="4">
        <f>AVERAGE(All_India_Index_Upto_April23__1___1[[#This Row],[Cereals and products]:[Food and beverages]])</f>
        <v>163.43846153846155</v>
      </c>
      <c r="F302" s="5">
        <f>AVERAGE(All_India_Index_Upto_April23__1___1[[#This Row],[Pan, tobacco and intoxicants]])</f>
        <v>198.2</v>
      </c>
      <c r="G302" s="4">
        <f>AVERAGE(All_India_Index_Upto_April23__1___1[[#This Row],[Clothing]:[Clothing and footwear]])</f>
        <v>150.26666666666665</v>
      </c>
      <c r="H302" s="5">
        <f>AVERAGE(All_India_Index_Upto_April23__1___1[[#This Row],[Housing]:[Fuel and light]])</f>
        <v>155.5</v>
      </c>
      <c r="I302" s="5">
        <f>AVERAGE(All_India_Index_Upto_April23__1___1[[#This Row],[Household goods and services]:[Health]])</f>
        <v>155.25</v>
      </c>
      <c r="J302" s="5">
        <f>AVERAGE(All_India_Index_Upto_April23__1___1[[#This Row],[Transport and communication]])</f>
        <v>145</v>
      </c>
      <c r="K302" s="5">
        <f>AVERAGE(All_India_Index_Upto_April23__1___1[[#This Row],[Recreation and amusement]])</f>
        <v>152.6</v>
      </c>
      <c r="L302" s="5">
        <f>AVERAGE(All_India_Index_Upto_April23__1___1[[#This Row],[Education]])</f>
        <v>156.6</v>
      </c>
      <c r="M302" s="5">
        <f>AVERAGE(All_India_Index_Upto_April23__1___1[[#This Row],[Personal care and effects]])</f>
        <v>157.5</v>
      </c>
      <c r="N302" s="5">
        <f>AVERAGE(All_India_Index_Upto_April23__1___1[[#This Row],[Miscellaneous]])</f>
        <v>152.30000000000001</v>
      </c>
      <c r="O302" s="5">
        <f>AVERAGE(All_India_Index_Upto_April23__1___1[[#This Row],[General index]])</f>
        <v>159.5</v>
      </c>
      <c r="P302" s="2">
        <f t="shared" si="63"/>
        <v>1434.355128205128</v>
      </c>
      <c r="R302" s="10">
        <f t="shared" si="54"/>
        <v>11.394560407294623</v>
      </c>
      <c r="S302" s="10">
        <f t="shared" si="55"/>
        <v>13.818056358749622</v>
      </c>
      <c r="T302" s="10">
        <f t="shared" si="56"/>
        <v>10.47625261776712</v>
      </c>
      <c r="U302" s="10">
        <f t="shared" si="57"/>
        <v>10.841108798110829</v>
      </c>
      <c r="V302" s="10">
        <f t="shared" si="58"/>
        <v>10.823679362744091</v>
      </c>
      <c r="W302" s="10">
        <f t="shared" si="59"/>
        <v>10.109072512707847</v>
      </c>
      <c r="X302" s="10">
        <f t="shared" si="60"/>
        <v>10.638927347856672</v>
      </c>
      <c r="Y302" s="10">
        <f t="shared" si="61"/>
        <v>10.917798313724475</v>
      </c>
      <c r="Z302" s="10">
        <f t="shared" si="62"/>
        <v>10.980544281044731</v>
      </c>
    </row>
    <row r="303" spans="1:26" x14ac:dyDescent="0.3">
      <c r="A303" s="5" t="s">
        <v>34</v>
      </c>
      <c r="B303" s="5">
        <v>2021</v>
      </c>
      <c r="C303" s="5" t="s">
        <v>40</v>
      </c>
      <c r="D303" s="21">
        <f t="shared" si="53"/>
        <v>44317</v>
      </c>
      <c r="E303" s="4">
        <f>AVERAGE(All_India_Index_Upto_April23__1___1[[#This Row],[Cereals and products]:[Food and beverages]])</f>
        <v>161.9769230769231</v>
      </c>
      <c r="F303" s="5">
        <f>AVERAGE(All_India_Index_Upto_April23__1___1[[#This Row],[Pan, tobacco and intoxicants]])</f>
        <v>191.9</v>
      </c>
      <c r="G303" s="4">
        <f>AVERAGE(All_India_Index_Upto_April23__1___1[[#This Row],[Clothing]:[Clothing and footwear]])</f>
        <v>158.1</v>
      </c>
      <c r="H303" s="5">
        <f>AVERAGE(All_India_Index_Upto_April23__1___1[[#This Row],[Housing]:[Fuel and light]])</f>
        <v>159.4</v>
      </c>
      <c r="I303" s="5">
        <f>AVERAGE(All_India_Index_Upto_April23__1___1[[#This Row],[Household goods and services]:[Health]])</f>
        <v>160.25</v>
      </c>
      <c r="J303" s="5">
        <f>AVERAGE(All_India_Index_Upto_April23__1___1[[#This Row],[Transport and communication]])</f>
        <v>148.9</v>
      </c>
      <c r="K303" s="5">
        <f>AVERAGE(All_India_Index_Upto_April23__1___1[[#This Row],[Recreation and amusement]])</f>
        <v>155.80000000000001</v>
      </c>
      <c r="L303" s="5">
        <f>AVERAGE(All_India_Index_Upto_April23__1___1[[#This Row],[Education]])</f>
        <v>161.19999999999999</v>
      </c>
      <c r="M303" s="5">
        <f>AVERAGE(All_India_Index_Upto_April23__1___1[[#This Row],[Personal care and effects]])</f>
        <v>158.6</v>
      </c>
      <c r="N303" s="5">
        <f>AVERAGE(All_India_Index_Upto_April23__1___1[[#This Row],[Miscellaneous]])</f>
        <v>156.80000000000001</v>
      </c>
      <c r="O303" s="5">
        <f>AVERAGE(All_India_Index_Upto_April23__1___1[[#This Row],[General index]])</f>
        <v>160.4</v>
      </c>
      <c r="P303" s="2">
        <f>AVERAGE(E303:N303)</f>
        <v>161.29269230769231</v>
      </c>
      <c r="R303" s="10">
        <f t="shared" si="54"/>
        <v>100.42421684419868</v>
      </c>
      <c r="S303" s="10">
        <f t="shared" si="55"/>
        <v>118.97625196429806</v>
      </c>
      <c r="T303" s="10">
        <f t="shared" si="56"/>
        <v>98.020559851774479</v>
      </c>
      <c r="U303" s="10">
        <f t="shared" si="57"/>
        <v>98.826548009948482</v>
      </c>
      <c r="V303" s="10">
        <f t="shared" si="58"/>
        <v>99.353540267216076</v>
      </c>
      <c r="W303" s="10">
        <f t="shared" si="59"/>
        <v>92.316643655466308</v>
      </c>
      <c r="X303" s="10">
        <f t="shared" si="60"/>
        <v>96.59458080269745</v>
      </c>
      <c r="Y303" s="10">
        <f t="shared" si="61"/>
        <v>99.942531613573976</v>
      </c>
      <c r="Z303" s="10">
        <f t="shared" si="62"/>
        <v>98.330555297226013</v>
      </c>
    </row>
    <row r="304" spans="1:26" hidden="1" x14ac:dyDescent="0.3">
      <c r="A304" s="6" t="s">
        <v>30</v>
      </c>
      <c r="B304" s="6">
        <v>2021</v>
      </c>
      <c r="C304" s="6" t="s">
        <v>41</v>
      </c>
      <c r="D304" s="21">
        <f t="shared" si="53"/>
        <v>44348</v>
      </c>
      <c r="E304" s="4">
        <f>AVERAGE(All_India_Index_Upto_April23__1___1[[#This Row],[Cereals and products]:[Food and beverages]])</f>
        <v>163.27692307692308</v>
      </c>
      <c r="F304" s="5">
        <f>AVERAGE(All_India_Index_Upto_April23__1___1[[#This Row],[Pan, tobacco and intoxicants]])</f>
        <v>189.1</v>
      </c>
      <c r="G304" s="4">
        <f>AVERAGE(All_India_Index_Upto_April23__1___1[[#This Row],[Clothing]:[Clothing and footwear]])</f>
        <v>163.26666666666668</v>
      </c>
      <c r="H304" s="5">
        <f>AVERAGE(All_India_Index_Upto_April23__1___1[[#This Row],[Housing]:[Fuel and light]])</f>
        <v>162.1</v>
      </c>
      <c r="I304" s="5">
        <f>AVERAGE(All_India_Index_Upto_April23__1___1[[#This Row],[Household goods and services]:[Health]])</f>
        <v>164.45</v>
      </c>
      <c r="J304" s="5">
        <f>AVERAGE(All_India_Index_Upto_April23__1___1[[#This Row],[Transport and communication]])</f>
        <v>154.19999999999999</v>
      </c>
      <c r="K304" s="5">
        <f>AVERAGE(All_India_Index_Upto_April23__1___1[[#This Row],[Recreation and amusement]])</f>
        <v>160.4</v>
      </c>
      <c r="L304" s="5">
        <f>AVERAGE(All_India_Index_Upto_April23__1___1[[#This Row],[Education]])</f>
        <v>166.8</v>
      </c>
      <c r="M304" s="5">
        <f>AVERAGE(All_India_Index_Upto_April23__1___1[[#This Row],[Personal care and effects]])</f>
        <v>159.4</v>
      </c>
      <c r="N304" s="5">
        <f>AVERAGE(All_India_Index_Upto_April23__1___1[[#This Row],[Miscellaneous]])</f>
        <v>161.5</v>
      </c>
      <c r="O304" s="5">
        <f>AVERAGE(All_India_Index_Upto_April23__1___1[[#This Row],[General index]])</f>
        <v>162.1</v>
      </c>
      <c r="P304" s="2">
        <f t="shared" si="63"/>
        <v>1482.9935897435898</v>
      </c>
      <c r="R304" s="10">
        <f t="shared" si="54"/>
        <v>11.009954743307672</v>
      </c>
      <c r="S304" s="10">
        <f t="shared" si="55"/>
        <v>12.751235157577145</v>
      </c>
      <c r="T304" s="10">
        <f t="shared" si="56"/>
        <v>11.009263141514694</v>
      </c>
      <c r="U304" s="10">
        <f t="shared" si="57"/>
        <v>10.930593437563486</v>
      </c>
      <c r="V304" s="10">
        <f t="shared" si="58"/>
        <v>11.089056698379489</v>
      </c>
      <c r="W304" s="10">
        <f t="shared" si="59"/>
        <v>10.397887156522453</v>
      </c>
      <c r="X304" s="10">
        <f t="shared" si="60"/>
        <v>10.815960440377442</v>
      </c>
      <c r="Y304" s="10">
        <f t="shared" si="61"/>
        <v>11.247519959195493</v>
      </c>
      <c r="Z304" s="10">
        <f t="shared" si="62"/>
        <v>10.748529265562121</v>
      </c>
    </row>
    <row r="305" spans="1:26" hidden="1" x14ac:dyDescent="0.3">
      <c r="A305" s="5" t="s">
        <v>32</v>
      </c>
      <c r="B305" s="5">
        <v>2021</v>
      </c>
      <c r="C305" s="5" t="s">
        <v>41</v>
      </c>
      <c r="D305" s="21">
        <f t="shared" si="53"/>
        <v>44348</v>
      </c>
      <c r="E305" s="4">
        <f>AVERAGE(All_India_Index_Upto_April23__1___1[[#This Row],[Cereals and products]:[Food and beverages]])</f>
        <v>165.7076923076923</v>
      </c>
      <c r="F305" s="5">
        <f>AVERAGE(All_India_Index_Upto_April23__1___1[[#This Row],[Pan, tobacco and intoxicants]])</f>
        <v>195.6</v>
      </c>
      <c r="G305" s="4">
        <f>AVERAGE(All_India_Index_Upto_April23__1___1[[#This Row],[Clothing]:[Clothing and footwear]])</f>
        <v>150.86666666666667</v>
      </c>
      <c r="H305" s="5">
        <f>AVERAGE(All_India_Index_Upto_April23__1___1[[#This Row],[Housing]:[Fuel and light]])</f>
        <v>156.1</v>
      </c>
      <c r="I305" s="5">
        <f>AVERAGE(All_India_Index_Upto_April23__1___1[[#This Row],[Household goods and services]:[Health]])</f>
        <v>155.30000000000001</v>
      </c>
      <c r="J305" s="5">
        <f>AVERAGE(All_India_Index_Upto_April23__1___1[[#This Row],[Transport and communication]])</f>
        <v>147.5</v>
      </c>
      <c r="K305" s="5">
        <f>AVERAGE(All_India_Index_Upto_April23__1___1[[#This Row],[Recreation and amusement]])</f>
        <v>150.69999999999999</v>
      </c>
      <c r="L305" s="5">
        <f>AVERAGE(All_India_Index_Upto_April23__1___1[[#This Row],[Education]])</f>
        <v>158.1</v>
      </c>
      <c r="M305" s="5">
        <f>AVERAGE(All_India_Index_Upto_April23__1___1[[#This Row],[Personal care and effects]])</f>
        <v>158</v>
      </c>
      <c r="N305" s="5">
        <f>AVERAGE(All_India_Index_Upto_April23__1___1[[#This Row],[Miscellaneous]])</f>
        <v>153.4</v>
      </c>
      <c r="O305" s="5">
        <f>AVERAGE(All_India_Index_Upto_April23__1___1[[#This Row],[General index]])</f>
        <v>160.4</v>
      </c>
      <c r="P305" s="2">
        <f t="shared" si="63"/>
        <v>1437.874358974359</v>
      </c>
      <c r="R305" s="10">
        <f t="shared" si="54"/>
        <v>11.524490389124972</v>
      </c>
      <c r="S305" s="10">
        <f t="shared" si="55"/>
        <v>13.60341387125939</v>
      </c>
      <c r="T305" s="10">
        <f t="shared" si="56"/>
        <v>10.492340010449899</v>
      </c>
      <c r="U305" s="10">
        <f t="shared" si="57"/>
        <v>10.856303196848623</v>
      </c>
      <c r="V305" s="10">
        <f t="shared" si="58"/>
        <v>10.800665512303596</v>
      </c>
      <c r="W305" s="10">
        <f t="shared" si="59"/>
        <v>10.258198087989571</v>
      </c>
      <c r="X305" s="10">
        <f t="shared" si="60"/>
        <v>10.480748826169684</v>
      </c>
      <c r="Y305" s="10">
        <f t="shared" si="61"/>
        <v>10.995397408211193</v>
      </c>
      <c r="Z305" s="10">
        <f t="shared" si="62"/>
        <v>10.988442697643066</v>
      </c>
    </row>
    <row r="306" spans="1:26" x14ac:dyDescent="0.3">
      <c r="A306" s="6" t="s">
        <v>34</v>
      </c>
      <c r="B306" s="6">
        <v>2021</v>
      </c>
      <c r="C306" s="6" t="s">
        <v>41</v>
      </c>
      <c r="D306" s="21">
        <f t="shared" si="53"/>
        <v>44348</v>
      </c>
      <c r="E306" s="4">
        <f>AVERAGE(All_India_Index_Upto_April23__1___1[[#This Row],[Cereals and products]:[Food and beverages]])</f>
        <v>164.14615384615385</v>
      </c>
      <c r="F306" s="5">
        <f>AVERAGE(All_India_Index_Upto_April23__1___1[[#This Row],[Pan, tobacco and intoxicants]])</f>
        <v>190.8</v>
      </c>
      <c r="G306" s="4">
        <f>AVERAGE(All_India_Index_Upto_April23__1___1[[#This Row],[Clothing]:[Clothing and footwear]])</f>
        <v>158.23333333333332</v>
      </c>
      <c r="H306" s="5">
        <f>AVERAGE(All_India_Index_Upto_April23__1___1[[#This Row],[Housing]:[Fuel and light]])</f>
        <v>159.80000000000001</v>
      </c>
      <c r="I306" s="5">
        <f>AVERAGE(All_India_Index_Upto_April23__1___1[[#This Row],[Household goods and services]:[Health]])</f>
        <v>160.55000000000001</v>
      </c>
      <c r="J306" s="5">
        <f>AVERAGE(All_India_Index_Upto_April23__1___1[[#This Row],[Transport and communication]])</f>
        <v>150.69999999999999</v>
      </c>
      <c r="K306" s="5">
        <f>AVERAGE(All_India_Index_Upto_April23__1___1[[#This Row],[Recreation and amusement]])</f>
        <v>154.9</v>
      </c>
      <c r="L306" s="5">
        <f>AVERAGE(All_India_Index_Upto_April23__1___1[[#This Row],[Education]])</f>
        <v>161.69999999999999</v>
      </c>
      <c r="M306" s="5">
        <f>AVERAGE(All_India_Index_Upto_April23__1___1[[#This Row],[Personal care and effects]])</f>
        <v>158.80000000000001</v>
      </c>
      <c r="N306" s="5">
        <f>AVERAGE(All_India_Index_Upto_April23__1___1[[#This Row],[Miscellaneous]])</f>
        <v>157.6</v>
      </c>
      <c r="O306" s="5">
        <f>AVERAGE(All_India_Index_Upto_April23__1___1[[#This Row],[General index]])</f>
        <v>161.30000000000001</v>
      </c>
      <c r="P306" s="2">
        <f>AVERAGE(E306:N306)</f>
        <v>161.72294871794873</v>
      </c>
      <c r="R306" s="10">
        <f t="shared" si="54"/>
        <v>101.49836813353639</v>
      </c>
      <c r="S306" s="10">
        <f t="shared" si="55"/>
        <v>117.97954558246575</v>
      </c>
      <c r="T306" s="10">
        <f t="shared" si="56"/>
        <v>97.842226219420823</v>
      </c>
      <c r="U306" s="10">
        <f t="shared" si="57"/>
        <v>98.810961132484408</v>
      </c>
      <c r="V306" s="10">
        <f t="shared" si="58"/>
        <v>99.274717207887193</v>
      </c>
      <c r="W306" s="10">
        <f t="shared" si="59"/>
        <v>93.184054084264062</v>
      </c>
      <c r="X306" s="10">
        <f t="shared" si="60"/>
        <v>95.781088106519618</v>
      </c>
      <c r="Y306" s="10">
        <f t="shared" si="61"/>
        <v>99.985809856838088</v>
      </c>
      <c r="Z306" s="10">
        <f t="shared" si="62"/>
        <v>98.192619698614052</v>
      </c>
    </row>
    <row r="307" spans="1:26" hidden="1" x14ac:dyDescent="0.3">
      <c r="A307" s="5" t="s">
        <v>30</v>
      </c>
      <c r="B307" s="5">
        <v>2021</v>
      </c>
      <c r="C307" s="5" t="s">
        <v>43</v>
      </c>
      <c r="D307" s="21">
        <f t="shared" si="53"/>
        <v>44378</v>
      </c>
      <c r="E307" s="4">
        <f>AVERAGE(All_India_Index_Upto_April23__1___1[[#This Row],[Cereals and products]:[Food and beverages]])</f>
        <v>164.03076923076924</v>
      </c>
      <c r="F307" s="5">
        <f>AVERAGE(All_India_Index_Upto_April23__1___1[[#This Row],[Pan, tobacco and intoxicants]])</f>
        <v>189.7</v>
      </c>
      <c r="G307" s="4">
        <f>AVERAGE(All_India_Index_Upto_April23__1___1[[#This Row],[Clothing]:[Clothing and footwear]])</f>
        <v>164.13333333333335</v>
      </c>
      <c r="H307" s="5">
        <f>AVERAGE(All_India_Index_Upto_April23__1___1[[#This Row],[Housing]:[Fuel and light]])</f>
        <v>162.5</v>
      </c>
      <c r="I307" s="5">
        <f>AVERAGE(All_India_Index_Upto_April23__1___1[[#This Row],[Household goods and services]:[Health]])</f>
        <v>165.35000000000002</v>
      </c>
      <c r="J307" s="5">
        <f>AVERAGE(All_India_Index_Upto_April23__1___1[[#This Row],[Transport and communication]])</f>
        <v>157.1</v>
      </c>
      <c r="K307" s="5">
        <f>AVERAGE(All_India_Index_Upto_April23__1___1[[#This Row],[Recreation and amusement]])</f>
        <v>160.69999999999999</v>
      </c>
      <c r="L307" s="5">
        <f>AVERAGE(All_India_Index_Upto_April23__1___1[[#This Row],[Education]])</f>
        <v>167.2</v>
      </c>
      <c r="M307" s="5">
        <f>AVERAGE(All_India_Index_Upto_April23__1___1[[#This Row],[Personal care and effects]])</f>
        <v>160.4</v>
      </c>
      <c r="N307" s="5">
        <f>AVERAGE(All_India_Index_Upto_April23__1___1[[#This Row],[Miscellaneous]])</f>
        <v>162.80000000000001</v>
      </c>
      <c r="O307" s="5">
        <f>AVERAGE(All_India_Index_Upto_April23__1___1[[#This Row],[General index]])</f>
        <v>163.19999999999999</v>
      </c>
      <c r="P307" s="2">
        <f t="shared" si="63"/>
        <v>1491.1141025641027</v>
      </c>
      <c r="R307" s="10">
        <f t="shared" si="54"/>
        <v>11.000551128093001</v>
      </c>
      <c r="S307" s="10">
        <f t="shared" si="55"/>
        <v>12.722031109074353</v>
      </c>
      <c r="T307" s="10">
        <f t="shared" si="56"/>
        <v>11.00742948182782</v>
      </c>
      <c r="U307" s="10">
        <f t="shared" si="57"/>
        <v>10.897891698600857</v>
      </c>
      <c r="V307" s="10">
        <f t="shared" si="58"/>
        <v>11.089023953007088</v>
      </c>
      <c r="W307" s="10">
        <f t="shared" si="59"/>
        <v>10.535746374462734</v>
      </c>
      <c r="X307" s="10">
        <f t="shared" si="60"/>
        <v>10.777176590554815</v>
      </c>
      <c r="Y307" s="10">
        <f t="shared" si="61"/>
        <v>11.21309225849885</v>
      </c>
      <c r="Z307" s="10">
        <f t="shared" si="62"/>
        <v>10.757057405880476</v>
      </c>
    </row>
    <row r="308" spans="1:26" hidden="1" x14ac:dyDescent="0.3">
      <c r="A308" s="6" t="s">
        <v>32</v>
      </c>
      <c r="B308" s="6">
        <v>2021</v>
      </c>
      <c r="C308" s="6" t="s">
        <v>43</v>
      </c>
      <c r="D308" s="21">
        <f t="shared" si="53"/>
        <v>44378</v>
      </c>
      <c r="E308" s="4">
        <f>AVERAGE(All_India_Index_Upto_April23__1___1[[#This Row],[Cereals and products]:[Food and beverages]])</f>
        <v>167.06153846153848</v>
      </c>
      <c r="F308" s="5">
        <f>AVERAGE(All_India_Index_Upto_April23__1___1[[#This Row],[Pan, tobacco and intoxicants]])</f>
        <v>195.5</v>
      </c>
      <c r="G308" s="4">
        <f>AVERAGE(All_India_Index_Upto_April23__1___1[[#This Row],[Clothing]:[Clothing and footwear]])</f>
        <v>151.76666666666668</v>
      </c>
      <c r="H308" s="5">
        <f>AVERAGE(All_India_Index_Upto_April23__1___1[[#This Row],[Housing]:[Fuel and light]])</f>
        <v>157.69999999999999</v>
      </c>
      <c r="I308" s="5">
        <f>AVERAGE(All_India_Index_Upto_April23__1___1[[#This Row],[Household goods and services]:[Health]])</f>
        <v>156.1</v>
      </c>
      <c r="J308" s="5">
        <f>AVERAGE(All_India_Index_Upto_April23__1___1[[#This Row],[Transport and communication]])</f>
        <v>149.5</v>
      </c>
      <c r="K308" s="5">
        <f>AVERAGE(All_India_Index_Upto_April23__1___1[[#This Row],[Recreation and amusement]])</f>
        <v>151.19999999999999</v>
      </c>
      <c r="L308" s="5">
        <f>AVERAGE(All_India_Index_Upto_April23__1___1[[#This Row],[Education]])</f>
        <v>160.30000000000001</v>
      </c>
      <c r="M308" s="5">
        <f>AVERAGE(All_India_Index_Upto_April23__1___1[[#This Row],[Personal care and effects]])</f>
        <v>159.6</v>
      </c>
      <c r="N308" s="5">
        <f>AVERAGE(All_India_Index_Upto_April23__1___1[[#This Row],[Miscellaneous]])</f>
        <v>155</v>
      </c>
      <c r="O308" s="5">
        <f>AVERAGE(All_India_Index_Upto_April23__1___1[[#This Row],[General index]])</f>
        <v>161.80000000000001</v>
      </c>
      <c r="P308" s="2">
        <f t="shared" si="63"/>
        <v>1448.728205128205</v>
      </c>
      <c r="R308" s="10">
        <f t="shared" si="54"/>
        <v>11.531599776284772</v>
      </c>
      <c r="S308" s="10">
        <f t="shared" si="55"/>
        <v>13.494594728532897</v>
      </c>
      <c r="T308" s="10">
        <f t="shared" si="56"/>
        <v>10.475855038194421</v>
      </c>
      <c r="U308" s="10">
        <f t="shared" si="57"/>
        <v>10.885409660816562</v>
      </c>
      <c r="V308" s="10">
        <f t="shared" si="58"/>
        <v>10.774967964828567</v>
      </c>
      <c r="W308" s="10">
        <f t="shared" si="59"/>
        <v>10.319395968878098</v>
      </c>
      <c r="X308" s="10">
        <f t="shared" si="60"/>
        <v>10.436740270865339</v>
      </c>
      <c r="Y308" s="10">
        <f t="shared" si="61"/>
        <v>11.064877416797051</v>
      </c>
      <c r="Z308" s="10">
        <f t="shared" si="62"/>
        <v>11.016559174802303</v>
      </c>
    </row>
    <row r="309" spans="1:26" x14ac:dyDescent="0.3">
      <c r="A309" s="5" t="s">
        <v>34</v>
      </c>
      <c r="B309" s="5">
        <v>2021</v>
      </c>
      <c r="C309" s="5" t="s">
        <v>43</v>
      </c>
      <c r="D309" s="21">
        <f t="shared" si="53"/>
        <v>44378</v>
      </c>
      <c r="E309" s="4">
        <f>AVERAGE(All_India_Index_Upto_April23__1___1[[#This Row],[Cereals and products]:[Food and beverages]])</f>
        <v>165.15384615384616</v>
      </c>
      <c r="F309" s="5">
        <f>AVERAGE(All_India_Index_Upto_April23__1___1[[#This Row],[Pan, tobacco and intoxicants]])</f>
        <v>191.2</v>
      </c>
      <c r="G309" s="4">
        <f>AVERAGE(All_India_Index_Upto_April23__1___1[[#This Row],[Clothing]:[Clothing and footwear]])</f>
        <v>159.1</v>
      </c>
      <c r="H309" s="5">
        <f>AVERAGE(All_India_Index_Upto_April23__1___1[[#This Row],[Housing]:[Fuel and light]])</f>
        <v>160.69999999999999</v>
      </c>
      <c r="I309" s="5">
        <f>AVERAGE(All_India_Index_Upto_April23__1___1[[#This Row],[Household goods and services]:[Health]])</f>
        <v>161.4</v>
      </c>
      <c r="J309" s="5">
        <f>AVERAGE(All_India_Index_Upto_April23__1___1[[#This Row],[Transport and communication]])</f>
        <v>153.1</v>
      </c>
      <c r="K309" s="5">
        <f>AVERAGE(All_India_Index_Upto_April23__1___1[[#This Row],[Recreation and amusement]])</f>
        <v>155.30000000000001</v>
      </c>
      <c r="L309" s="5">
        <f>AVERAGE(All_India_Index_Upto_April23__1___1[[#This Row],[Education]])</f>
        <v>163.19999999999999</v>
      </c>
      <c r="M309" s="5">
        <f>AVERAGE(All_India_Index_Upto_April23__1___1[[#This Row],[Personal care and effects]])</f>
        <v>160.1</v>
      </c>
      <c r="N309" s="5">
        <f>AVERAGE(All_India_Index_Upto_April23__1___1[[#This Row],[Miscellaneous]])</f>
        <v>159</v>
      </c>
      <c r="O309" s="5">
        <f>AVERAGE(All_India_Index_Upto_April23__1___1[[#This Row],[General index]])</f>
        <v>162.5</v>
      </c>
      <c r="P309" s="2">
        <f>AVERAGE(E309:N309)</f>
        <v>162.82538461538462</v>
      </c>
      <c r="R309" s="10">
        <f t="shared" si="54"/>
        <v>101.43003595168018</v>
      </c>
      <c r="S309" s="10">
        <f t="shared" si="55"/>
        <v>117.42640771378494</v>
      </c>
      <c r="T309" s="10">
        <f t="shared" si="56"/>
        <v>97.712036962673551</v>
      </c>
      <c r="U309" s="10">
        <f t="shared" si="57"/>
        <v>98.694684725968813</v>
      </c>
      <c r="V309" s="10">
        <f t="shared" si="58"/>
        <v>99.124593122410516</v>
      </c>
      <c r="W309" s="10">
        <f t="shared" si="59"/>
        <v>94.027107850316284</v>
      </c>
      <c r="X309" s="10">
        <f t="shared" si="60"/>
        <v>95.378248524847294</v>
      </c>
      <c r="Y309" s="10">
        <f t="shared" si="61"/>
        <v>100.23007185611768</v>
      </c>
      <c r="Z309" s="10">
        <f t="shared" si="62"/>
        <v>98.326191814733093</v>
      </c>
    </row>
    <row r="310" spans="1:26" hidden="1" x14ac:dyDescent="0.3">
      <c r="A310" s="6" t="s">
        <v>30</v>
      </c>
      <c r="B310" s="6">
        <v>2021</v>
      </c>
      <c r="C310" s="6" t="s">
        <v>45</v>
      </c>
      <c r="D310" s="21">
        <f t="shared" si="53"/>
        <v>44409</v>
      </c>
      <c r="E310" s="4">
        <f>AVERAGE(All_India_Index_Upto_April23__1___1[[#This Row],[Cereals and products]:[Food and beverages]])</f>
        <v>163.90769230769232</v>
      </c>
      <c r="F310" s="5">
        <f>AVERAGE(All_India_Index_Upto_April23__1___1[[#This Row],[Pan, tobacco and intoxicants]])</f>
        <v>190.2</v>
      </c>
      <c r="G310" s="4">
        <f>AVERAGE(All_India_Index_Upto_April23__1___1[[#This Row],[Clothing]:[Clothing and footwear]])</f>
        <v>165.3</v>
      </c>
      <c r="H310" s="5">
        <f>AVERAGE(All_India_Index_Upto_April23__1___1[[#This Row],[Housing]:[Fuel and light]])</f>
        <v>163.1</v>
      </c>
      <c r="I310" s="5">
        <f>AVERAGE(All_India_Index_Upto_April23__1___1[[#This Row],[Household goods and services]:[Health]])</f>
        <v>166</v>
      </c>
      <c r="J310" s="5">
        <f>AVERAGE(All_India_Index_Upto_April23__1___1[[#This Row],[Transport and communication]])</f>
        <v>157.69999999999999</v>
      </c>
      <c r="K310" s="5">
        <f>AVERAGE(All_India_Index_Upto_April23__1___1[[#This Row],[Recreation and amusement]])</f>
        <v>161.1</v>
      </c>
      <c r="L310" s="5">
        <f>AVERAGE(All_India_Index_Upto_April23__1___1[[#This Row],[Education]])</f>
        <v>167.5</v>
      </c>
      <c r="M310" s="5">
        <f>AVERAGE(All_India_Index_Upto_April23__1___1[[#This Row],[Personal care and effects]])</f>
        <v>160.30000000000001</v>
      </c>
      <c r="N310" s="5">
        <f>AVERAGE(All_India_Index_Upto_April23__1___1[[#This Row],[Miscellaneous]])</f>
        <v>163.30000000000001</v>
      </c>
      <c r="O310" s="5">
        <f>AVERAGE(All_India_Index_Upto_April23__1___1[[#This Row],[General index]])</f>
        <v>163.6</v>
      </c>
      <c r="P310" s="2">
        <f t="shared" si="63"/>
        <v>1495.1076923076921</v>
      </c>
      <c r="R310" s="10">
        <f t="shared" si="54"/>
        <v>10.962935523039247</v>
      </c>
      <c r="S310" s="10">
        <f t="shared" si="55"/>
        <v>12.721491634253256</v>
      </c>
      <c r="T310" s="10">
        <f t="shared" si="56"/>
        <v>11.056059764153858</v>
      </c>
      <c r="U310" s="10">
        <f t="shared" si="57"/>
        <v>10.908913173221379</v>
      </c>
      <c r="V310" s="10">
        <f t="shared" si="58"/>
        <v>11.102879133996009</v>
      </c>
      <c r="W310" s="10">
        <f t="shared" si="59"/>
        <v>10.547735177296207</v>
      </c>
      <c r="X310" s="10">
        <f t="shared" si="60"/>
        <v>10.775143545100946</v>
      </c>
      <c r="Y310" s="10">
        <f t="shared" si="61"/>
        <v>11.203206355086333</v>
      </c>
      <c r="Z310" s="10">
        <f t="shared" si="62"/>
        <v>10.721635693852773</v>
      </c>
    </row>
    <row r="311" spans="1:26" hidden="1" x14ac:dyDescent="0.3">
      <c r="A311" s="5" t="s">
        <v>32</v>
      </c>
      <c r="B311" s="5">
        <v>2021</v>
      </c>
      <c r="C311" s="5" t="s">
        <v>45</v>
      </c>
      <c r="D311" s="21">
        <f t="shared" si="53"/>
        <v>44409</v>
      </c>
      <c r="E311" s="4">
        <f>AVERAGE(All_India_Index_Upto_April23__1___1[[#This Row],[Cereals and products]:[Food and beverages]])</f>
        <v>165.99230769230769</v>
      </c>
      <c r="F311" s="5">
        <f>AVERAGE(All_India_Index_Upto_April23__1___1[[#This Row],[Pan, tobacco and intoxicants]])</f>
        <v>196.5</v>
      </c>
      <c r="G311" s="4">
        <f>AVERAGE(All_India_Index_Upto_April23__1___1[[#This Row],[Clothing]:[Clothing and footwear]])</f>
        <v>153.56666666666666</v>
      </c>
      <c r="H311" s="5">
        <f>AVERAGE(All_India_Index_Upto_April23__1___1[[#This Row],[Housing]:[Fuel and light]])</f>
        <v>160.69999999999999</v>
      </c>
      <c r="I311" s="5">
        <f>AVERAGE(All_India_Index_Upto_April23__1___1[[#This Row],[Household goods and services]:[Health]])</f>
        <v>158</v>
      </c>
      <c r="J311" s="5">
        <f>AVERAGE(All_India_Index_Upto_April23__1___1[[#This Row],[Transport and communication]])</f>
        <v>150.4</v>
      </c>
      <c r="K311" s="5">
        <f>AVERAGE(All_India_Index_Upto_April23__1___1[[#This Row],[Recreation and amusement]])</f>
        <v>153.69999999999999</v>
      </c>
      <c r="L311" s="5">
        <f>AVERAGE(All_India_Index_Upto_April23__1___1[[#This Row],[Education]])</f>
        <v>160.4</v>
      </c>
      <c r="M311" s="5">
        <f>AVERAGE(All_India_Index_Upto_April23__1___1[[#This Row],[Personal care and effects]])</f>
        <v>159.6</v>
      </c>
      <c r="N311" s="5">
        <f>AVERAGE(All_India_Index_Upto_April23__1___1[[#This Row],[Miscellaneous]])</f>
        <v>156</v>
      </c>
      <c r="O311" s="5">
        <f>AVERAGE(All_India_Index_Upto_April23__1___1[[#This Row],[General index]])</f>
        <v>162.30000000000001</v>
      </c>
      <c r="P311" s="2">
        <f t="shared" si="63"/>
        <v>1458.8589743589744</v>
      </c>
      <c r="R311" s="10">
        <f t="shared" si="54"/>
        <v>11.378228506648153</v>
      </c>
      <c r="S311" s="10">
        <f t="shared" si="55"/>
        <v>13.469430798569308</v>
      </c>
      <c r="T311" s="10">
        <f t="shared" si="56"/>
        <v>10.526491550298353</v>
      </c>
      <c r="U311" s="10">
        <f t="shared" si="57"/>
        <v>11.015458164529706</v>
      </c>
      <c r="V311" s="10">
        <f t="shared" si="58"/>
        <v>10.83038201615242</v>
      </c>
      <c r="W311" s="10">
        <f t="shared" si="59"/>
        <v>10.309426931831164</v>
      </c>
      <c r="X311" s="10">
        <f t="shared" si="60"/>
        <v>10.535631113181182</v>
      </c>
      <c r="Y311" s="10">
        <f t="shared" si="61"/>
        <v>10.994894148043342</v>
      </c>
      <c r="Z311" s="10">
        <f t="shared" si="62"/>
        <v>10.940056770746368</v>
      </c>
    </row>
    <row r="312" spans="1:26" x14ac:dyDescent="0.3">
      <c r="A312" s="6" t="s">
        <v>34</v>
      </c>
      <c r="B312" s="6">
        <v>2021</v>
      </c>
      <c r="C312" s="6" t="s">
        <v>45</v>
      </c>
      <c r="D312" s="21">
        <f t="shared" si="53"/>
        <v>44409</v>
      </c>
      <c r="E312" s="4">
        <f>AVERAGE(All_India_Index_Upto_April23__1___1[[#This Row],[Cereals and products]:[Food and beverages]])</f>
        <v>164.76923076923077</v>
      </c>
      <c r="F312" s="5">
        <f>AVERAGE(All_India_Index_Upto_April23__1___1[[#This Row],[Pan, tobacco and intoxicants]])</f>
        <v>192.1</v>
      </c>
      <c r="G312" s="4">
        <f>AVERAGE(All_India_Index_Upto_April23__1___1[[#This Row],[Clothing]:[Clothing and footwear]])</f>
        <v>161</v>
      </c>
      <c r="H312" s="5">
        <f>AVERAGE(All_India_Index_Upto_April23__1___1[[#This Row],[Housing]:[Fuel and light]])</f>
        <v>162.6</v>
      </c>
      <c r="I312" s="5">
        <f>AVERAGE(All_India_Index_Upto_April23__1___1[[#This Row],[Household goods and services]:[Health]])</f>
        <v>162.94999999999999</v>
      </c>
      <c r="J312" s="5">
        <f>AVERAGE(All_India_Index_Upto_April23__1___1[[#This Row],[Transport and communication]])</f>
        <v>154</v>
      </c>
      <c r="K312" s="5">
        <f>AVERAGE(All_India_Index_Upto_April23__1___1[[#This Row],[Recreation and amusement]])</f>
        <v>157.6</v>
      </c>
      <c r="L312" s="5">
        <f>AVERAGE(All_India_Index_Upto_April23__1___1[[#This Row],[Education]])</f>
        <v>163.80000000000001</v>
      </c>
      <c r="M312" s="5">
        <f>AVERAGE(All_India_Index_Upto_April23__1___1[[#This Row],[Personal care and effects]])</f>
        <v>160</v>
      </c>
      <c r="N312" s="5">
        <f>AVERAGE(All_India_Index_Upto_April23__1___1[[#This Row],[Miscellaneous]])</f>
        <v>160</v>
      </c>
      <c r="O312" s="5">
        <f>AVERAGE(All_India_Index_Upto_April23__1___1[[#This Row],[General index]])</f>
        <v>163.19999999999999</v>
      </c>
      <c r="P312" s="2">
        <f>AVERAGE(E312:N312)</f>
        <v>163.88192307692307</v>
      </c>
      <c r="R312" s="10">
        <f t="shared" si="54"/>
        <v>100.54143109602833</v>
      </c>
      <c r="S312" s="10">
        <f t="shared" si="55"/>
        <v>117.21854149211556</v>
      </c>
      <c r="T312" s="10">
        <f t="shared" si="56"/>
        <v>98.241463718014614</v>
      </c>
      <c r="U312" s="10">
        <f t="shared" si="57"/>
        <v>99.217776400926567</v>
      </c>
      <c r="V312" s="10">
        <f t="shared" si="58"/>
        <v>99.431344800313539</v>
      </c>
      <c r="W312" s="10">
        <f t="shared" si="59"/>
        <v>93.970095730274849</v>
      </c>
      <c r="X312" s="10">
        <f t="shared" si="60"/>
        <v>96.166799266826715</v>
      </c>
      <c r="Y312" s="10">
        <f t="shared" si="61"/>
        <v>99.950010913110532</v>
      </c>
      <c r="Z312" s="10">
        <f t="shared" si="62"/>
        <v>97.631268291194644</v>
      </c>
    </row>
    <row r="313" spans="1:26" hidden="1" x14ac:dyDescent="0.3">
      <c r="A313" s="5" t="s">
        <v>30</v>
      </c>
      <c r="B313" s="5">
        <v>2021</v>
      </c>
      <c r="C313" s="5" t="s">
        <v>47</v>
      </c>
      <c r="D313" s="21">
        <f t="shared" si="53"/>
        <v>44440</v>
      </c>
      <c r="E313" s="4">
        <f>AVERAGE(All_India_Index_Upto_April23__1___1[[#This Row],[Cereals and products]:[Food and beverages]])</f>
        <v>164.12307692307692</v>
      </c>
      <c r="F313" s="5">
        <f>AVERAGE(All_India_Index_Upto_April23__1___1[[#This Row],[Pan, tobacco and intoxicants]])</f>
        <v>190.5</v>
      </c>
      <c r="G313" s="4">
        <f>AVERAGE(All_India_Index_Upto_April23__1___1[[#This Row],[Clothing]:[Clothing and footwear]])</f>
        <v>166.13333333333333</v>
      </c>
      <c r="H313" s="5">
        <f>AVERAGE(All_India_Index_Upto_April23__1___1[[#This Row],[Housing]:[Fuel and light]])</f>
        <v>163.69999999999999</v>
      </c>
      <c r="I313" s="5">
        <f>AVERAGE(All_India_Index_Upto_April23__1___1[[#This Row],[Household goods and services]:[Health]])</f>
        <v>166.60000000000002</v>
      </c>
      <c r="J313" s="5">
        <f>AVERAGE(All_India_Index_Upto_April23__1___1[[#This Row],[Transport and communication]])</f>
        <v>157.80000000000001</v>
      </c>
      <c r="K313" s="5">
        <f>AVERAGE(All_India_Index_Upto_April23__1___1[[#This Row],[Recreation and amusement]])</f>
        <v>162.69999999999999</v>
      </c>
      <c r="L313" s="5">
        <f>AVERAGE(All_India_Index_Upto_April23__1___1[[#This Row],[Education]])</f>
        <v>168.5</v>
      </c>
      <c r="M313" s="5">
        <f>AVERAGE(All_India_Index_Upto_April23__1___1[[#This Row],[Personal care and effects]])</f>
        <v>160.19999999999999</v>
      </c>
      <c r="N313" s="5">
        <f>AVERAGE(All_India_Index_Upto_April23__1___1[[#This Row],[Miscellaneous]])</f>
        <v>163.80000000000001</v>
      </c>
      <c r="O313" s="5">
        <f>AVERAGE(All_India_Index_Upto_April23__1___1[[#This Row],[General index]])</f>
        <v>164</v>
      </c>
      <c r="P313" s="2">
        <f t="shared" si="63"/>
        <v>1500.2564102564104</v>
      </c>
      <c r="R313" s="10">
        <f t="shared" si="54"/>
        <v>10.939668432746538</v>
      </c>
      <c r="S313" s="10">
        <f t="shared" si="55"/>
        <v>12.697829430866516</v>
      </c>
      <c r="T313" s="10">
        <f t="shared" si="56"/>
        <v>11.073662621774053</v>
      </c>
      <c r="U313" s="10">
        <f t="shared" si="57"/>
        <v>10.911468125106817</v>
      </c>
      <c r="V313" s="10">
        <f t="shared" si="58"/>
        <v>11.104768415655444</v>
      </c>
      <c r="W313" s="10">
        <f t="shared" si="59"/>
        <v>10.518202016749273</v>
      </c>
      <c r="X313" s="10">
        <f t="shared" si="60"/>
        <v>10.844812852503843</v>
      </c>
      <c r="Y313" s="10">
        <f t="shared" si="61"/>
        <v>11.231413433601093</v>
      </c>
      <c r="Z313" s="10">
        <f t="shared" si="62"/>
        <v>10.678174670996409</v>
      </c>
    </row>
    <row r="314" spans="1:26" hidden="1" x14ac:dyDescent="0.3">
      <c r="A314" s="6" t="s">
        <v>32</v>
      </c>
      <c r="B314" s="6">
        <v>2021</v>
      </c>
      <c r="C314" s="6" t="s">
        <v>47</v>
      </c>
      <c r="D314" s="21">
        <f t="shared" si="53"/>
        <v>44440</v>
      </c>
      <c r="E314" s="4">
        <f>AVERAGE(All_India_Index_Upto_April23__1___1[[#This Row],[Cereals and products]:[Food and beverages]])</f>
        <v>165.99230769230769</v>
      </c>
      <c r="F314" s="5">
        <f>AVERAGE(All_India_Index_Upto_April23__1___1[[#This Row],[Pan, tobacco and intoxicants]])</f>
        <v>196.5</v>
      </c>
      <c r="G314" s="4">
        <f>AVERAGE(All_India_Index_Upto_April23__1___1[[#This Row],[Clothing]:[Clothing and footwear]])</f>
        <v>153.6</v>
      </c>
      <c r="H314" s="5">
        <f>AVERAGE(All_India_Index_Upto_April23__1___1[[#This Row],[Housing]:[Fuel and light]])</f>
        <v>160.80000000000001</v>
      </c>
      <c r="I314" s="5">
        <f>AVERAGE(All_India_Index_Upto_April23__1___1[[#This Row],[Household goods and services]:[Health]])</f>
        <v>158.05000000000001</v>
      </c>
      <c r="J314" s="5">
        <f>AVERAGE(All_India_Index_Upto_April23__1___1[[#This Row],[Transport and communication]])</f>
        <v>150.5</v>
      </c>
      <c r="K314" s="5">
        <f>AVERAGE(All_India_Index_Upto_April23__1___1[[#This Row],[Recreation and amusement]])</f>
        <v>153.9</v>
      </c>
      <c r="L314" s="5">
        <f>AVERAGE(All_India_Index_Upto_April23__1___1[[#This Row],[Education]])</f>
        <v>160.30000000000001</v>
      </c>
      <c r="M314" s="5">
        <f>AVERAGE(All_India_Index_Upto_April23__1___1[[#This Row],[Personal care and effects]])</f>
        <v>159.6</v>
      </c>
      <c r="N314" s="5">
        <f>AVERAGE(All_India_Index_Upto_April23__1___1[[#This Row],[Miscellaneous]])</f>
        <v>156</v>
      </c>
      <c r="O314" s="5">
        <f>AVERAGE(All_India_Index_Upto_April23__1___1[[#This Row],[General index]])</f>
        <v>162.30000000000001</v>
      </c>
      <c r="P314" s="2">
        <f t="shared" si="63"/>
        <v>1459.2423076923076</v>
      </c>
      <c r="R314" s="10">
        <f t="shared" si="54"/>
        <v>11.375239521036997</v>
      </c>
      <c r="S314" s="10">
        <f t="shared" si="55"/>
        <v>13.465892467903522</v>
      </c>
      <c r="T314" s="10">
        <f t="shared" si="56"/>
        <v>10.526010600865042</v>
      </c>
      <c r="U314" s="10">
        <f t="shared" si="57"/>
        <v>11.019417347780594</v>
      </c>
      <c r="V314" s="10">
        <f t="shared" si="58"/>
        <v>10.830963381944795</v>
      </c>
      <c r="W314" s="10">
        <f t="shared" si="59"/>
        <v>10.313571584831962</v>
      </c>
      <c r="X314" s="10">
        <f t="shared" si="60"/>
        <v>10.54656921531986</v>
      </c>
      <c r="Y314" s="10">
        <f t="shared" si="61"/>
        <v>10.985152990355902</v>
      </c>
      <c r="Z314" s="10">
        <f t="shared" si="62"/>
        <v>10.937182889961335</v>
      </c>
    </row>
    <row r="315" spans="1:26" x14ac:dyDescent="0.3">
      <c r="A315" s="5" t="s">
        <v>34</v>
      </c>
      <c r="B315" s="5">
        <v>2021</v>
      </c>
      <c r="C315" s="5" t="s">
        <v>47</v>
      </c>
      <c r="D315" s="21">
        <f t="shared" si="53"/>
        <v>44440</v>
      </c>
      <c r="E315" s="4">
        <f>AVERAGE(All_India_Index_Upto_April23__1___1[[#This Row],[Cereals and products]:[Food and beverages]])</f>
        <v>164.76923076923077</v>
      </c>
      <c r="F315" s="5">
        <f>AVERAGE(All_India_Index_Upto_April23__1___1[[#This Row],[Pan, tobacco and intoxicants]])</f>
        <v>192.1</v>
      </c>
      <c r="G315" s="4">
        <f>AVERAGE(All_India_Index_Upto_April23__1___1[[#This Row],[Clothing]:[Clothing and footwear]])</f>
        <v>161.06666666666666</v>
      </c>
      <c r="H315" s="5">
        <f>AVERAGE(All_India_Index_Upto_April23__1___1[[#This Row],[Housing]:[Fuel and light]])</f>
        <v>162.6</v>
      </c>
      <c r="I315" s="5">
        <f>AVERAGE(All_India_Index_Upto_April23__1___1[[#This Row],[Household goods and services]:[Health]])</f>
        <v>162.94999999999999</v>
      </c>
      <c r="J315" s="5">
        <f>AVERAGE(All_India_Index_Upto_April23__1___1[[#This Row],[Transport and communication]])</f>
        <v>154</v>
      </c>
      <c r="K315" s="5">
        <f>AVERAGE(All_India_Index_Upto_April23__1___1[[#This Row],[Recreation and amusement]])</f>
        <v>157.69999999999999</v>
      </c>
      <c r="L315" s="5">
        <f>AVERAGE(All_India_Index_Upto_April23__1___1[[#This Row],[Education]])</f>
        <v>163.69999999999999</v>
      </c>
      <c r="M315" s="5">
        <f>AVERAGE(All_India_Index_Upto_April23__1___1[[#This Row],[Personal care and effects]])</f>
        <v>160</v>
      </c>
      <c r="N315" s="5">
        <f>AVERAGE(All_India_Index_Upto_April23__1___1[[#This Row],[Miscellaneous]])</f>
        <v>160</v>
      </c>
      <c r="O315" s="5">
        <f>AVERAGE(All_India_Index_Upto_April23__1___1[[#This Row],[General index]])</f>
        <v>163.19999999999999</v>
      </c>
      <c r="P315" s="2">
        <f>AVERAGE(E315:N315)</f>
        <v>163.88858974358976</v>
      </c>
      <c r="R315" s="10">
        <f t="shared" si="54"/>
        <v>100.53734126763725</v>
      </c>
      <c r="S315" s="10">
        <f t="shared" si="55"/>
        <v>117.21377327155484</v>
      </c>
      <c r="T315" s="10">
        <f t="shared" si="56"/>
        <v>98.278145488140382</v>
      </c>
      <c r="U315" s="10">
        <f t="shared" si="57"/>
        <v>99.213740416214563</v>
      </c>
      <c r="V315" s="10">
        <f t="shared" si="58"/>
        <v>99.427300128057581</v>
      </c>
      <c r="W315" s="10">
        <f t="shared" si="59"/>
        <v>93.966273210928932</v>
      </c>
      <c r="X315" s="10">
        <f t="shared" si="60"/>
        <v>96.223904450412277</v>
      </c>
      <c r="Y315" s="10">
        <f t="shared" si="61"/>
        <v>99.884928082006908</v>
      </c>
      <c r="Z315" s="10">
        <f t="shared" si="62"/>
        <v>97.627296842523563</v>
      </c>
    </row>
    <row r="316" spans="1:26" hidden="1" x14ac:dyDescent="0.3">
      <c r="A316" s="6" t="s">
        <v>30</v>
      </c>
      <c r="B316" s="6">
        <v>2021</v>
      </c>
      <c r="C316" s="6" t="s">
        <v>49</v>
      </c>
      <c r="D316" s="21">
        <f t="shared" si="53"/>
        <v>44470</v>
      </c>
      <c r="E316" s="4">
        <f>AVERAGE(All_India_Index_Upto_April23__1___1[[#This Row],[Cereals and products]:[Food and beverages]])</f>
        <v>166.47692307692307</v>
      </c>
      <c r="F316" s="5">
        <f>AVERAGE(All_India_Index_Upto_April23__1___1[[#This Row],[Pan, tobacco and intoxicants]])</f>
        <v>191.2</v>
      </c>
      <c r="G316" s="4">
        <f>AVERAGE(All_India_Index_Upto_April23__1___1[[#This Row],[Clothing]:[Clothing and footwear]])</f>
        <v>167.33333333333334</v>
      </c>
      <c r="H316" s="5">
        <f>AVERAGE(All_India_Index_Upto_April23__1___1[[#This Row],[Housing]:[Fuel and light]])</f>
        <v>165.5</v>
      </c>
      <c r="I316" s="5">
        <f>AVERAGE(All_India_Index_Upto_April23__1___1[[#This Row],[Household goods and services]:[Health]])</f>
        <v>167.25</v>
      </c>
      <c r="J316" s="5">
        <f>AVERAGE(All_India_Index_Upto_April23__1___1[[#This Row],[Transport and communication]])</f>
        <v>159.5</v>
      </c>
      <c r="K316" s="5">
        <f>AVERAGE(All_India_Index_Upto_April23__1___1[[#This Row],[Recreation and amusement]])</f>
        <v>163.19999999999999</v>
      </c>
      <c r="L316" s="5">
        <f>AVERAGE(All_India_Index_Upto_April23__1___1[[#This Row],[Education]])</f>
        <v>169</v>
      </c>
      <c r="M316" s="5">
        <f>AVERAGE(All_India_Index_Upto_April23__1___1[[#This Row],[Personal care and effects]])</f>
        <v>161.1</v>
      </c>
      <c r="N316" s="5">
        <f>AVERAGE(All_India_Index_Upto_April23__1___1[[#This Row],[Miscellaneous]])</f>
        <v>164.7</v>
      </c>
      <c r="O316" s="5">
        <f>AVERAGE(All_India_Index_Upto_April23__1___1[[#This Row],[General index]])</f>
        <v>166.3</v>
      </c>
      <c r="P316" s="2">
        <f t="shared" si="63"/>
        <v>1510.5602564102562</v>
      </c>
      <c r="R316" s="10">
        <f t="shared" si="54"/>
        <v>11.020872710668568</v>
      </c>
      <c r="S316" s="10">
        <f t="shared" si="55"/>
        <v>12.657555313574434</v>
      </c>
      <c r="T316" s="10">
        <f t="shared" si="56"/>
        <v>11.077567586147781</v>
      </c>
      <c r="U316" s="10">
        <f t="shared" si="57"/>
        <v>10.956199813789587</v>
      </c>
      <c r="V316" s="10">
        <f t="shared" si="58"/>
        <v>11.072050869222409</v>
      </c>
      <c r="W316" s="10">
        <f t="shared" si="59"/>
        <v>10.558996195162775</v>
      </c>
      <c r="X316" s="10">
        <f t="shared" si="60"/>
        <v>10.803938426649308</v>
      </c>
      <c r="Y316" s="10">
        <f t="shared" si="61"/>
        <v>11.187901924655227</v>
      </c>
      <c r="Z316" s="10">
        <f t="shared" si="62"/>
        <v>10.664917160129923</v>
      </c>
    </row>
    <row r="317" spans="1:26" hidden="1" x14ac:dyDescent="0.3">
      <c r="A317" s="5" t="s">
        <v>32</v>
      </c>
      <c r="B317" s="5">
        <v>2021</v>
      </c>
      <c r="C317" s="5" t="s">
        <v>49</v>
      </c>
      <c r="D317" s="21">
        <f t="shared" si="53"/>
        <v>44470</v>
      </c>
      <c r="E317" s="4">
        <f>AVERAGE(All_India_Index_Upto_April23__1___1[[#This Row],[Cereals and products]:[Food and beverages]])</f>
        <v>169.10769230769236</v>
      </c>
      <c r="F317" s="5">
        <f>AVERAGE(All_India_Index_Upto_April23__1___1[[#This Row],[Pan, tobacco and intoxicants]])</f>
        <v>197</v>
      </c>
      <c r="G317" s="4">
        <f>AVERAGE(All_India_Index_Upto_April23__1___1[[#This Row],[Clothing]:[Clothing and footwear]])</f>
        <v>154.50000000000003</v>
      </c>
      <c r="H317" s="5">
        <f>AVERAGE(All_India_Index_Upto_April23__1___1[[#This Row],[Housing]:[Fuel and light]])</f>
        <v>162.19999999999999</v>
      </c>
      <c r="I317" s="5">
        <f>AVERAGE(All_India_Index_Upto_April23__1___1[[#This Row],[Household goods and services]:[Health]])</f>
        <v>158.9</v>
      </c>
      <c r="J317" s="5">
        <f>AVERAGE(All_India_Index_Upto_April23__1___1[[#This Row],[Transport and communication]])</f>
        <v>152.19999999999999</v>
      </c>
      <c r="K317" s="5">
        <f>AVERAGE(All_India_Index_Upto_April23__1___1[[#This Row],[Recreation and amusement]])</f>
        <v>155.1</v>
      </c>
      <c r="L317" s="5">
        <f>AVERAGE(All_India_Index_Upto_April23__1___1[[#This Row],[Education]])</f>
        <v>160.30000000000001</v>
      </c>
      <c r="M317" s="5">
        <f>AVERAGE(All_India_Index_Upto_April23__1___1[[#This Row],[Personal care and effects]])</f>
        <v>160.30000000000001</v>
      </c>
      <c r="N317" s="5">
        <f>AVERAGE(All_India_Index_Upto_April23__1___1[[#This Row],[Miscellaneous]])</f>
        <v>157</v>
      </c>
      <c r="O317" s="5">
        <f>AVERAGE(All_India_Index_Upto_April23__1___1[[#This Row],[General index]])</f>
        <v>164.6</v>
      </c>
      <c r="P317" s="2">
        <f t="shared" si="63"/>
        <v>1469.6076923076921</v>
      </c>
      <c r="R317" s="10">
        <f t="shared" si="54"/>
        <v>11.506995587519437</v>
      </c>
      <c r="S317" s="10">
        <f t="shared" si="55"/>
        <v>13.404938000198904</v>
      </c>
      <c r="T317" s="10">
        <f t="shared" si="56"/>
        <v>10.513009751425031</v>
      </c>
      <c r="U317" s="10">
        <f t="shared" si="57"/>
        <v>11.036959104732293</v>
      </c>
      <c r="V317" s="10">
        <f t="shared" si="58"/>
        <v>10.812409381886324</v>
      </c>
      <c r="W317" s="10">
        <f t="shared" si="59"/>
        <v>10.356505399138442</v>
      </c>
      <c r="X317" s="10">
        <f t="shared" si="60"/>
        <v>10.55383697376066</v>
      </c>
      <c r="Y317" s="10">
        <f t="shared" si="61"/>
        <v>10.907672900669464</v>
      </c>
      <c r="Z317" s="10">
        <f t="shared" si="62"/>
        <v>10.907672900669464</v>
      </c>
    </row>
    <row r="318" spans="1:26" x14ac:dyDescent="0.3">
      <c r="A318" s="6" t="s">
        <v>34</v>
      </c>
      <c r="B318" s="6">
        <v>2021</v>
      </c>
      <c r="C318" s="6" t="s">
        <v>49</v>
      </c>
      <c r="D318" s="21">
        <f t="shared" si="53"/>
        <v>44470</v>
      </c>
      <c r="E318" s="4">
        <f>AVERAGE(All_India_Index_Upto_April23__1___1[[#This Row],[Cereals and products]:[Food and beverages]])</f>
        <v>167.34615384615384</v>
      </c>
      <c r="F318" s="5">
        <f>AVERAGE(All_India_Index_Upto_April23__1___1[[#This Row],[Pan, tobacco and intoxicants]])</f>
        <v>192.7</v>
      </c>
      <c r="G318" s="4">
        <f>AVERAGE(All_India_Index_Upto_April23__1___1[[#This Row],[Clothing]:[Clothing and footwear]])</f>
        <v>162.1</v>
      </c>
      <c r="H318" s="5">
        <f>AVERAGE(All_India_Index_Upto_April23__1___1[[#This Row],[Housing]:[Fuel and light]])</f>
        <v>164.2</v>
      </c>
      <c r="I318" s="5">
        <f>AVERAGE(All_India_Index_Upto_April23__1___1[[#This Row],[Household goods and services]:[Health]])</f>
        <v>163.75</v>
      </c>
      <c r="J318" s="5">
        <f>AVERAGE(All_India_Index_Upto_April23__1___1[[#This Row],[Transport and communication]])</f>
        <v>155.69999999999999</v>
      </c>
      <c r="K318" s="5">
        <f>AVERAGE(All_India_Index_Upto_April23__1___1[[#This Row],[Recreation and amusement]])</f>
        <v>158.6</v>
      </c>
      <c r="L318" s="5">
        <f>AVERAGE(All_India_Index_Upto_April23__1___1[[#This Row],[Education]])</f>
        <v>163.9</v>
      </c>
      <c r="M318" s="5">
        <f>AVERAGE(All_India_Index_Upto_April23__1___1[[#This Row],[Personal care and effects]])</f>
        <v>160.80000000000001</v>
      </c>
      <c r="N318" s="5">
        <f>AVERAGE(All_India_Index_Upto_April23__1___1[[#This Row],[Miscellaneous]])</f>
        <v>161</v>
      </c>
      <c r="O318" s="5">
        <f>AVERAGE(All_India_Index_Upto_April23__1___1[[#This Row],[General index]])</f>
        <v>165.5</v>
      </c>
      <c r="P318" s="2">
        <f>AVERAGE(E318:N318)</f>
        <v>165.00961538461539</v>
      </c>
      <c r="R318" s="10">
        <f t="shared" si="54"/>
        <v>101.4160013985199</v>
      </c>
      <c r="S318" s="10">
        <f t="shared" si="55"/>
        <v>116.78107336402306</v>
      </c>
      <c r="T318" s="10">
        <f t="shared" si="56"/>
        <v>98.236699493036525</v>
      </c>
      <c r="U318" s="10">
        <f t="shared" si="57"/>
        <v>99.509352601829733</v>
      </c>
      <c r="V318" s="10">
        <f t="shared" si="58"/>
        <v>99.236641221374043</v>
      </c>
      <c r="W318" s="10">
        <f t="shared" si="59"/>
        <v>94.3581376376668</v>
      </c>
      <c r="X318" s="10">
        <f t="shared" si="60"/>
        <v>96.115610978381198</v>
      </c>
      <c r="Y318" s="10">
        <f t="shared" si="61"/>
        <v>99.327545014859282</v>
      </c>
      <c r="Z318" s="10">
        <f t="shared" si="62"/>
        <v>97.448866616164565</v>
      </c>
    </row>
    <row r="319" spans="1:26" hidden="1" x14ac:dyDescent="0.3">
      <c r="A319" s="5" t="s">
        <v>30</v>
      </c>
      <c r="B319" s="5">
        <v>2021</v>
      </c>
      <c r="C319" s="5" t="s">
        <v>52</v>
      </c>
      <c r="D319" s="21">
        <f t="shared" si="53"/>
        <v>44501</v>
      </c>
      <c r="E319" s="4">
        <f>AVERAGE(All_India_Index_Upto_April23__1___1[[#This Row],[Cereals and products]:[Food and beverages]])</f>
        <v>167.84615384615384</v>
      </c>
      <c r="F319" s="5">
        <f>AVERAGE(All_India_Index_Upto_April23__1___1[[#This Row],[Pan, tobacco and intoxicants]])</f>
        <v>191.4</v>
      </c>
      <c r="G319" s="4">
        <f>AVERAGE(All_India_Index_Upto_April23__1___1[[#This Row],[Clothing]:[Clothing and footwear]])</f>
        <v>168.73333333333332</v>
      </c>
      <c r="H319" s="5">
        <f>AVERAGE(All_India_Index_Upto_April23__1___1[[#This Row],[Housing]:[Fuel and light]])</f>
        <v>165.3</v>
      </c>
      <c r="I319" s="5">
        <f>AVERAGE(All_India_Index_Upto_April23__1___1[[#This Row],[Household goods and services]:[Health]])</f>
        <v>168.15</v>
      </c>
      <c r="J319" s="5">
        <f>AVERAGE(All_India_Index_Upto_April23__1___1[[#This Row],[Transport and communication]])</f>
        <v>158.9</v>
      </c>
      <c r="K319" s="5">
        <f>AVERAGE(All_India_Index_Upto_April23__1___1[[#This Row],[Recreation and amusement]])</f>
        <v>163.80000000000001</v>
      </c>
      <c r="L319" s="5">
        <f>AVERAGE(All_India_Index_Upto_April23__1___1[[#This Row],[Education]])</f>
        <v>169.3</v>
      </c>
      <c r="M319" s="5">
        <f>AVERAGE(All_India_Index_Upto_April23__1___1[[#This Row],[Personal care and effects]])</f>
        <v>162.4</v>
      </c>
      <c r="N319" s="5">
        <f>AVERAGE(All_India_Index_Upto_April23__1___1[[#This Row],[Miscellaneous]])</f>
        <v>165.2</v>
      </c>
      <c r="O319" s="5">
        <f>AVERAGE(All_India_Index_Upto_April23__1___1[[#This Row],[General index]])</f>
        <v>167.6</v>
      </c>
      <c r="P319" s="2">
        <f t="shared" si="63"/>
        <v>1515.8294871794872</v>
      </c>
      <c r="R319" s="10">
        <f t="shared" si="54"/>
        <v>11.072891460797887</v>
      </c>
      <c r="S319" s="10">
        <f t="shared" si="55"/>
        <v>12.626750015012513</v>
      </c>
      <c r="T319" s="10">
        <f t="shared" si="56"/>
        <v>11.131419118076165</v>
      </c>
      <c r="U319" s="10">
        <f t="shared" si="57"/>
        <v>10.904920467510808</v>
      </c>
      <c r="V319" s="10">
        <f t="shared" si="58"/>
        <v>11.092936337640303</v>
      </c>
      <c r="W319" s="10">
        <f t="shared" si="59"/>
        <v>10.482709390728779</v>
      </c>
      <c r="X319" s="10">
        <f t="shared" si="60"/>
        <v>10.805964746390021</v>
      </c>
      <c r="Y319" s="10">
        <f t="shared" si="61"/>
        <v>11.168802390499575</v>
      </c>
      <c r="Z319" s="10">
        <f t="shared" si="62"/>
        <v>10.71360607334395</v>
      </c>
    </row>
    <row r="320" spans="1:26" hidden="1" x14ac:dyDescent="0.3">
      <c r="A320" s="6" t="s">
        <v>32</v>
      </c>
      <c r="B320" s="6">
        <v>2021</v>
      </c>
      <c r="C320" s="6" t="s">
        <v>52</v>
      </c>
      <c r="D320" s="21">
        <f t="shared" si="53"/>
        <v>44501</v>
      </c>
      <c r="E320" s="4">
        <f>AVERAGE(All_India_Index_Upto_April23__1___1[[#This Row],[Cereals and products]:[Food and beverages]])</f>
        <v>170.60769230769228</v>
      </c>
      <c r="F320" s="5">
        <f>AVERAGE(All_India_Index_Upto_April23__1___1[[#This Row],[Pan, tobacco and intoxicants]])</f>
        <v>197</v>
      </c>
      <c r="G320" s="4">
        <f>AVERAGE(All_India_Index_Upto_April23__1___1[[#This Row],[Clothing]:[Clothing and footwear]])</f>
        <v>155.76666666666668</v>
      </c>
      <c r="H320" s="5">
        <f>AVERAGE(All_India_Index_Upto_April23__1___1[[#This Row],[Housing]:[Fuel and light]])</f>
        <v>161.6</v>
      </c>
      <c r="I320" s="5">
        <f>AVERAGE(All_India_Index_Upto_April23__1___1[[#This Row],[Household goods and services]:[Health]])</f>
        <v>159.69999999999999</v>
      </c>
      <c r="J320" s="5">
        <f>AVERAGE(All_India_Index_Upto_April23__1___1[[#This Row],[Transport and communication]])</f>
        <v>151.19999999999999</v>
      </c>
      <c r="K320" s="5">
        <f>AVERAGE(All_India_Index_Upto_April23__1___1[[#This Row],[Recreation and amusement]])</f>
        <v>156.69999999999999</v>
      </c>
      <c r="L320" s="5">
        <f>AVERAGE(All_India_Index_Upto_April23__1___1[[#This Row],[Education]])</f>
        <v>160.80000000000001</v>
      </c>
      <c r="M320" s="5">
        <f>AVERAGE(All_India_Index_Upto_April23__1___1[[#This Row],[Personal care and effects]])</f>
        <v>161.80000000000001</v>
      </c>
      <c r="N320" s="5">
        <f>AVERAGE(All_India_Index_Upto_April23__1___1[[#This Row],[Miscellaneous]])</f>
        <v>157.30000000000001</v>
      </c>
      <c r="O320" s="5">
        <f>AVERAGE(All_India_Index_Upto_April23__1___1[[#This Row],[General index]])</f>
        <v>165.6</v>
      </c>
      <c r="P320" s="2">
        <f t="shared" si="63"/>
        <v>1475.1743589743589</v>
      </c>
      <c r="R320" s="10">
        <f t="shared" si="54"/>
        <v>11.565256084461113</v>
      </c>
      <c r="S320" s="10">
        <f t="shared" si="55"/>
        <v>13.354353592274187</v>
      </c>
      <c r="T320" s="10">
        <f t="shared" si="56"/>
        <v>10.559203779475004</v>
      </c>
      <c r="U320" s="10">
        <f t="shared" si="57"/>
        <v>10.954637261479739</v>
      </c>
      <c r="V320" s="10">
        <f t="shared" si="58"/>
        <v>10.825838927341053</v>
      </c>
      <c r="W320" s="10">
        <f t="shared" si="59"/>
        <v>10.249635853562724</v>
      </c>
      <c r="X320" s="10">
        <f t="shared" si="60"/>
        <v>10.62247313659576</v>
      </c>
      <c r="Y320" s="10">
        <f t="shared" si="61"/>
        <v>10.900406383947661</v>
      </c>
      <c r="Z320" s="10">
        <f t="shared" si="62"/>
        <v>10.968194980862759</v>
      </c>
    </row>
    <row r="321" spans="1:26" x14ac:dyDescent="0.3">
      <c r="A321" s="5" t="s">
        <v>34</v>
      </c>
      <c r="B321" s="5">
        <v>2021</v>
      </c>
      <c r="C321" s="5" t="s">
        <v>52</v>
      </c>
      <c r="D321" s="21">
        <f t="shared" si="53"/>
        <v>44501</v>
      </c>
      <c r="E321" s="4">
        <f>AVERAGE(All_India_Index_Upto_April23__1___1[[#This Row],[Cereals and products]:[Food and beverages]])</f>
        <v>168.77692307692308</v>
      </c>
      <c r="F321" s="5">
        <f>AVERAGE(All_India_Index_Upto_April23__1___1[[#This Row],[Pan, tobacco and intoxicants]])</f>
        <v>192.9</v>
      </c>
      <c r="G321" s="4">
        <f>AVERAGE(All_India_Index_Upto_April23__1___1[[#This Row],[Clothing]:[Clothing and footwear]])</f>
        <v>163.46666666666667</v>
      </c>
      <c r="H321" s="5">
        <f>AVERAGE(All_India_Index_Upto_April23__1___1[[#This Row],[Housing]:[Fuel and light]])</f>
        <v>163.9</v>
      </c>
      <c r="I321" s="5">
        <f>AVERAGE(All_India_Index_Upto_April23__1___1[[#This Row],[Household goods and services]:[Health]])</f>
        <v>164.60000000000002</v>
      </c>
      <c r="J321" s="5">
        <f>AVERAGE(All_India_Index_Upto_April23__1___1[[#This Row],[Transport and communication]])</f>
        <v>154.80000000000001</v>
      </c>
      <c r="K321" s="5">
        <f>AVERAGE(All_India_Index_Upto_April23__1___1[[#This Row],[Recreation and amusement]])</f>
        <v>159.80000000000001</v>
      </c>
      <c r="L321" s="5">
        <f>AVERAGE(All_India_Index_Upto_April23__1___1[[#This Row],[Education]])</f>
        <v>164.3</v>
      </c>
      <c r="M321" s="5">
        <f>AVERAGE(All_India_Index_Upto_April23__1___1[[#This Row],[Personal care and effects]])</f>
        <v>162.19999999999999</v>
      </c>
      <c r="N321" s="5">
        <f>AVERAGE(All_India_Index_Upto_April23__1___1[[#This Row],[Miscellaneous]])</f>
        <v>161.4</v>
      </c>
      <c r="O321" s="5">
        <f>AVERAGE(All_India_Index_Upto_April23__1___1[[#This Row],[General index]])</f>
        <v>166.7</v>
      </c>
      <c r="P321" s="2">
        <f>AVERAGE(E321:N321)</f>
        <v>165.61435897435899</v>
      </c>
      <c r="R321" s="10">
        <f t="shared" si="54"/>
        <v>101.9095953528122</v>
      </c>
      <c r="S321" s="10">
        <f t="shared" si="55"/>
        <v>116.47540780559098</v>
      </c>
      <c r="T321" s="10">
        <f t="shared" si="56"/>
        <v>98.703196799484743</v>
      </c>
      <c r="U321" s="10">
        <f t="shared" si="57"/>
        <v>98.964848830152221</v>
      </c>
      <c r="V321" s="10">
        <f t="shared" si="58"/>
        <v>99.387517495076608</v>
      </c>
      <c r="W321" s="10">
        <f t="shared" si="59"/>
        <v>93.470156186135227</v>
      </c>
      <c r="X321" s="10">
        <f t="shared" si="60"/>
        <v>96.489218078452254</v>
      </c>
      <c r="Y321" s="10">
        <f t="shared" si="61"/>
        <v>99.206373781537579</v>
      </c>
      <c r="Z321" s="10">
        <f t="shared" si="62"/>
        <v>97.938367786764417</v>
      </c>
    </row>
    <row r="322" spans="1:26" hidden="1" x14ac:dyDescent="0.3">
      <c r="A322" s="6" t="s">
        <v>30</v>
      </c>
      <c r="B322" s="6">
        <v>2021</v>
      </c>
      <c r="C322" s="6" t="s">
        <v>54</v>
      </c>
      <c r="D322" s="21">
        <f t="shared" si="53"/>
        <v>44531</v>
      </c>
      <c r="E322" s="4">
        <f>AVERAGE(All_India_Index_Upto_April23__1___1[[#This Row],[Cereals and products]:[Food and beverages]])</f>
        <v>166.78461538461536</v>
      </c>
      <c r="F322" s="5">
        <f>AVERAGE(All_India_Index_Upto_April23__1___1[[#This Row],[Pan, tobacco and intoxicants]])</f>
        <v>190.8</v>
      </c>
      <c r="G322" s="4">
        <f>AVERAGE(All_India_Index_Upto_April23__1___1[[#This Row],[Clothing]:[Clothing and footwear]])</f>
        <v>170.1</v>
      </c>
      <c r="H322" s="5">
        <f>AVERAGE(All_India_Index_Upto_April23__1___1[[#This Row],[Housing]:[Fuel and light]])</f>
        <v>165.6</v>
      </c>
      <c r="I322" s="5">
        <f>AVERAGE(All_India_Index_Upto_April23__1___1[[#This Row],[Household goods and services]:[Health]])</f>
        <v>168.95</v>
      </c>
      <c r="J322" s="5">
        <f>AVERAGE(All_India_Index_Upto_April23__1___1[[#This Row],[Transport and communication]])</f>
        <v>160.1</v>
      </c>
      <c r="K322" s="5">
        <f>AVERAGE(All_India_Index_Upto_April23__1___1[[#This Row],[Recreation and amusement]])</f>
        <v>164.5</v>
      </c>
      <c r="L322" s="5">
        <f>AVERAGE(All_India_Index_Upto_April23__1___1[[#This Row],[Education]])</f>
        <v>169.7</v>
      </c>
      <c r="M322" s="5">
        <f>AVERAGE(All_India_Index_Upto_April23__1___1[[#This Row],[Personal care and effects]])</f>
        <v>162.80000000000001</v>
      </c>
      <c r="N322" s="5">
        <f>AVERAGE(All_India_Index_Upto_April23__1___1[[#This Row],[Miscellaneous]])</f>
        <v>166</v>
      </c>
      <c r="O322" s="5">
        <f>AVERAGE(All_India_Index_Upto_April23__1___1[[#This Row],[General index]])</f>
        <v>167</v>
      </c>
      <c r="P322" s="2">
        <f t="shared" si="63"/>
        <v>1519.3346153846155</v>
      </c>
      <c r="R322" s="10">
        <f t="shared" si="54"/>
        <v>10.977477488880504</v>
      </c>
      <c r="S322" s="10">
        <f t="shared" si="55"/>
        <v>12.558128938021957</v>
      </c>
      <c r="T322" s="10">
        <f t="shared" si="56"/>
        <v>11.195690421161084</v>
      </c>
      <c r="U322" s="10">
        <f t="shared" si="57"/>
        <v>10.899508134886982</v>
      </c>
      <c r="V322" s="10">
        <f t="shared" si="58"/>
        <v>11.119999392446591</v>
      </c>
      <c r="W322" s="10">
        <f t="shared" si="59"/>
        <v>10.537507562774188</v>
      </c>
      <c r="X322" s="10">
        <f t="shared" si="60"/>
        <v>10.827108020464422</v>
      </c>
      <c r="Y322" s="10">
        <f t="shared" si="61"/>
        <v>11.169363106825609</v>
      </c>
      <c r="Z322" s="10">
        <f t="shared" si="62"/>
        <v>10.715216934538653</v>
      </c>
    </row>
    <row r="323" spans="1:26" hidden="1" x14ac:dyDescent="0.3">
      <c r="A323" s="5" t="s">
        <v>32</v>
      </c>
      <c r="B323" s="5">
        <v>2021</v>
      </c>
      <c r="C323" s="5" t="s">
        <v>54</v>
      </c>
      <c r="D323" s="21">
        <f t="shared" si="53"/>
        <v>44531</v>
      </c>
      <c r="E323" s="4">
        <f>AVERAGE(All_India_Index_Upto_April23__1___1[[#This Row],[Cereals and products]:[Food and beverages]])</f>
        <v>169.71538461538464</v>
      </c>
      <c r="F323" s="5">
        <f>AVERAGE(All_India_Index_Upto_April23__1___1[[#This Row],[Pan, tobacco and intoxicants]])</f>
        <v>196.8</v>
      </c>
      <c r="G323" s="4">
        <f>AVERAGE(All_India_Index_Upto_April23__1___1[[#This Row],[Clothing]:[Clothing and footwear]])</f>
        <v>156.9</v>
      </c>
      <c r="H323" s="5">
        <f>AVERAGE(All_India_Index_Upto_April23__1___1[[#This Row],[Housing]:[Fuel and light]])</f>
        <v>161.69999999999999</v>
      </c>
      <c r="I323" s="5">
        <f>AVERAGE(All_India_Index_Upto_April23__1___1[[#This Row],[Household goods and services]:[Health]])</f>
        <v>160.55000000000001</v>
      </c>
      <c r="J323" s="5">
        <f>AVERAGE(All_India_Index_Upto_April23__1___1[[#This Row],[Transport and communication]])</f>
        <v>151.80000000000001</v>
      </c>
      <c r="K323" s="5">
        <f>AVERAGE(All_India_Index_Upto_April23__1___1[[#This Row],[Recreation and amusement]])</f>
        <v>157.6</v>
      </c>
      <c r="L323" s="5">
        <f>AVERAGE(All_India_Index_Upto_April23__1___1[[#This Row],[Education]])</f>
        <v>160.6</v>
      </c>
      <c r="M323" s="5">
        <f>AVERAGE(All_India_Index_Upto_April23__1___1[[#This Row],[Personal care and effects]])</f>
        <v>162.4</v>
      </c>
      <c r="N323" s="5">
        <f>AVERAGE(All_India_Index_Upto_April23__1___1[[#This Row],[Miscellaneous]])</f>
        <v>157.80000000000001</v>
      </c>
      <c r="O323" s="5">
        <f>AVERAGE(All_India_Index_Upto_April23__1___1[[#This Row],[General index]])</f>
        <v>165.2</v>
      </c>
      <c r="P323" s="2">
        <f t="shared" si="63"/>
        <v>1478.0653846153843</v>
      </c>
      <c r="R323" s="10">
        <f t="shared" si="54"/>
        <v>11.482265018982718</v>
      </c>
      <c r="S323" s="10">
        <f t="shared" si="55"/>
        <v>13.3147019102413</v>
      </c>
      <c r="T323" s="10">
        <f t="shared" si="56"/>
        <v>10.615227285146647</v>
      </c>
      <c r="U323" s="10">
        <f t="shared" si="57"/>
        <v>10.939976112225702</v>
      </c>
      <c r="V323" s="10">
        <f t="shared" si="58"/>
        <v>10.862171705738012</v>
      </c>
      <c r="W323" s="10">
        <f t="shared" si="59"/>
        <v>10.270181656375151</v>
      </c>
      <c r="X323" s="10">
        <f t="shared" si="60"/>
        <v>10.662586489095675</v>
      </c>
      <c r="Y323" s="10">
        <f t="shared" si="61"/>
        <v>10.865554506020086</v>
      </c>
      <c r="Z323" s="10">
        <f t="shared" si="62"/>
        <v>10.987335316174732</v>
      </c>
    </row>
    <row r="324" spans="1:26" x14ac:dyDescent="0.3">
      <c r="A324" s="6" t="s">
        <v>34</v>
      </c>
      <c r="B324" s="6">
        <v>2021</v>
      </c>
      <c r="C324" s="6" t="s">
        <v>54</v>
      </c>
      <c r="D324" s="21">
        <f t="shared" si="53"/>
        <v>44531</v>
      </c>
      <c r="E324" s="4">
        <f>AVERAGE(All_India_Index_Upto_April23__1___1[[#This Row],[Cereals and products]:[Food and beverages]])</f>
        <v>167.76153846153846</v>
      </c>
      <c r="F324" s="5">
        <f>AVERAGE(All_India_Index_Upto_April23__1___1[[#This Row],[Pan, tobacco and intoxicants]])</f>
        <v>192.4</v>
      </c>
      <c r="G324" s="4">
        <f>AVERAGE(All_India_Index_Upto_April23__1___1[[#This Row],[Clothing]:[Clothing and footwear]])</f>
        <v>164.73333333333332</v>
      </c>
      <c r="H324" s="5">
        <f>AVERAGE(All_India_Index_Upto_April23__1___1[[#This Row],[Housing]:[Fuel and light]])</f>
        <v>164.1</v>
      </c>
      <c r="I324" s="5">
        <f>AVERAGE(All_India_Index_Upto_April23__1___1[[#This Row],[Household goods and services]:[Health]])</f>
        <v>165.39999999999998</v>
      </c>
      <c r="J324" s="5">
        <f>AVERAGE(All_India_Index_Upto_April23__1___1[[#This Row],[Transport and communication]])</f>
        <v>155.69999999999999</v>
      </c>
      <c r="K324" s="5">
        <f>AVERAGE(All_India_Index_Upto_April23__1___1[[#This Row],[Recreation and amusement]])</f>
        <v>160.6</v>
      </c>
      <c r="L324" s="5">
        <f>AVERAGE(All_India_Index_Upto_April23__1___1[[#This Row],[Education]])</f>
        <v>164.4</v>
      </c>
      <c r="M324" s="5">
        <f>AVERAGE(All_India_Index_Upto_April23__1___1[[#This Row],[Personal care and effects]])</f>
        <v>162.6</v>
      </c>
      <c r="N324" s="5">
        <f>AVERAGE(All_India_Index_Upto_April23__1___1[[#This Row],[Miscellaneous]])</f>
        <v>162</v>
      </c>
      <c r="O324" s="5">
        <f>AVERAGE(All_India_Index_Upto_April23__1___1[[#This Row],[General index]])</f>
        <v>166.2</v>
      </c>
      <c r="P324" s="2">
        <f>AVERAGE(E324:N324)</f>
        <v>165.96948717948717</v>
      </c>
      <c r="R324" s="10">
        <f t="shared" si="54"/>
        <v>101.07974743581227</v>
      </c>
      <c r="S324" s="10">
        <f t="shared" si="55"/>
        <v>115.92492286966558</v>
      </c>
      <c r="T324" s="10">
        <f t="shared" si="56"/>
        <v>99.255192103584065</v>
      </c>
      <c r="U324" s="10">
        <f t="shared" si="57"/>
        <v>98.873595857131605</v>
      </c>
      <c r="V324" s="10">
        <f t="shared" si="58"/>
        <v>99.656872363007707</v>
      </c>
      <c r="W324" s="10">
        <f t="shared" si="59"/>
        <v>93.812424588393597</v>
      </c>
      <c r="X324" s="10">
        <f t="shared" si="60"/>
        <v>96.76477449515744</v>
      </c>
      <c r="Y324" s="10">
        <f t="shared" si="61"/>
        <v>99.054351973872244</v>
      </c>
      <c r="Z324" s="10">
        <f t="shared" si="62"/>
        <v>97.969815273428381</v>
      </c>
    </row>
    <row r="325" spans="1:26" hidden="1" x14ac:dyDescent="0.3">
      <c r="A325" s="5" t="s">
        <v>30</v>
      </c>
      <c r="B325" s="5">
        <v>2022</v>
      </c>
      <c r="C325" s="5" t="s">
        <v>31</v>
      </c>
      <c r="D325" s="21">
        <f t="shared" ref="D325:D375" si="64">DATE(B325,MONTH(1&amp;C325),1)</f>
        <v>44562</v>
      </c>
      <c r="E325" s="4">
        <f>AVERAGE(All_India_Index_Upto_April23__1___1[[#This Row],[Cereals and products]:[Food and beverages]])</f>
        <v>165.61538461538461</v>
      </c>
      <c r="F325" s="5">
        <f>AVERAGE(All_India_Index_Upto_April23__1___1[[#This Row],[Pan, tobacco and intoxicants]])</f>
        <v>190.7</v>
      </c>
      <c r="G325" s="4">
        <f>AVERAGE(All_India_Index_Upto_April23__1___1[[#This Row],[Clothing]:[Clothing and footwear]])</f>
        <v>171.73333333333335</v>
      </c>
      <c r="H325" s="5">
        <f>AVERAGE(All_India_Index_Upto_April23__1___1[[#This Row],[Housing]:[Fuel and light]])</f>
        <v>165.8</v>
      </c>
      <c r="I325" s="5">
        <f>AVERAGE(All_India_Index_Upto_April23__1___1[[#This Row],[Household goods and services]:[Health]])</f>
        <v>169.8</v>
      </c>
      <c r="J325" s="5">
        <f>AVERAGE(All_India_Index_Upto_April23__1___1[[#This Row],[Transport and communication]])</f>
        <v>160.80000000000001</v>
      </c>
      <c r="K325" s="5">
        <f>AVERAGE(All_India_Index_Upto_April23__1___1[[#This Row],[Recreation and amusement]])</f>
        <v>164.9</v>
      </c>
      <c r="L325" s="5">
        <f>AVERAGE(All_India_Index_Upto_April23__1___1[[#This Row],[Education]])</f>
        <v>169.9</v>
      </c>
      <c r="M325" s="5">
        <f>AVERAGE(All_India_Index_Upto_April23__1___1[[#This Row],[Personal care and effects]])</f>
        <v>163.19999999999999</v>
      </c>
      <c r="N325" s="5">
        <f>AVERAGE(All_India_Index_Upto_April23__1___1[[#This Row],[Miscellaneous]])</f>
        <v>166.6</v>
      </c>
      <c r="O325" s="5">
        <f>AVERAGE(All_India_Index_Upto_April23__1___1[[#This Row],[General index]])</f>
        <v>166.4</v>
      </c>
      <c r="P325" s="2">
        <f t="shared" ref="P325:P374" si="65">SUM(E325:M325)</f>
        <v>1522.448717948718</v>
      </c>
      <c r="R325" s="10">
        <f t="shared" ref="R325:R375" si="66">E325/P325*100</f>
        <v>10.878224183375297</v>
      </c>
      <c r="S325" s="10">
        <f t="shared" ref="S325:S375" si="67">F325/P325*100</f>
        <v>12.525873466328704</v>
      </c>
      <c r="T325" s="10">
        <f t="shared" ref="T325:T375" si="68">G325/P325*100</f>
        <v>11.280073430960581</v>
      </c>
      <c r="U325" s="10">
        <f t="shared" ref="U325:U375" si="69">H325/P325*100</f>
        <v>10.890350397049287</v>
      </c>
      <c r="V325" s="10">
        <f t="shared" ref="V325:V375" si="70">I325/P325*100</f>
        <v>11.153085026652407</v>
      </c>
      <c r="W325" s="10">
        <f t="shared" ref="W325:W375" si="71">J325/P325*100</f>
        <v>10.56193211004539</v>
      </c>
      <c r="X325" s="10">
        <f t="shared" ref="X325:X375" si="72">K325/P325*100</f>
        <v>10.831235105388586</v>
      </c>
      <c r="Y325" s="10">
        <f t="shared" ref="Y325:Y375" si="73">L325/P325*100</f>
        <v>11.159653392392485</v>
      </c>
      <c r="Z325" s="10">
        <f t="shared" ref="Z325:Z375" si="74">M325/P325*100</f>
        <v>10.719572887807258</v>
      </c>
    </row>
    <row r="326" spans="1:26" hidden="1" x14ac:dyDescent="0.3">
      <c r="A326" s="6" t="s">
        <v>32</v>
      </c>
      <c r="B326" s="6">
        <v>2022</v>
      </c>
      <c r="C326" s="6" t="s">
        <v>31</v>
      </c>
      <c r="D326" s="21">
        <f t="shared" si="64"/>
        <v>44562</v>
      </c>
      <c r="E326" s="4">
        <f>AVERAGE(All_India_Index_Upto_April23__1___1[[#This Row],[Cereals and products]:[Food and beverages]])</f>
        <v>168.2076923076923</v>
      </c>
      <c r="F326" s="5">
        <f>AVERAGE(All_India_Index_Upto_April23__1___1[[#This Row],[Pan, tobacco and intoxicants]])</f>
        <v>196.4</v>
      </c>
      <c r="G326" s="4">
        <f>AVERAGE(All_India_Index_Upto_April23__1___1[[#This Row],[Clothing]:[Clothing and footwear]])</f>
        <v>158.46666666666667</v>
      </c>
      <c r="H326" s="5">
        <f>AVERAGE(All_India_Index_Upto_April23__1___1[[#This Row],[Housing]:[Fuel and light]])</f>
        <v>161.6</v>
      </c>
      <c r="I326" s="5">
        <f>AVERAGE(All_India_Index_Upto_April23__1___1[[#This Row],[Household goods and services]:[Health]])</f>
        <v>161.44999999999999</v>
      </c>
      <c r="J326" s="5">
        <f>AVERAGE(All_India_Index_Upto_April23__1___1[[#This Row],[Transport and communication]])</f>
        <v>152.69999999999999</v>
      </c>
      <c r="K326" s="5">
        <f>AVERAGE(All_India_Index_Upto_April23__1___1[[#This Row],[Recreation and amusement]])</f>
        <v>158.4</v>
      </c>
      <c r="L326" s="5">
        <f>AVERAGE(All_India_Index_Upto_April23__1___1[[#This Row],[Education]])</f>
        <v>161</v>
      </c>
      <c r="M326" s="5">
        <f>AVERAGE(All_India_Index_Upto_April23__1___1[[#This Row],[Personal care and effects]])</f>
        <v>162.80000000000001</v>
      </c>
      <c r="N326" s="5">
        <f>AVERAGE(All_India_Index_Upto_April23__1___1[[#This Row],[Miscellaneous]])</f>
        <v>158.6</v>
      </c>
      <c r="O326" s="5">
        <f>AVERAGE(All_India_Index_Upto_April23__1___1[[#This Row],[General index]])</f>
        <v>165</v>
      </c>
      <c r="P326" s="2">
        <f t="shared" si="65"/>
        <v>1481.0243589743591</v>
      </c>
      <c r="R326" s="10">
        <f t="shared" si="66"/>
        <v>11.357523682066898</v>
      </c>
      <c r="S326" s="10">
        <f t="shared" si="67"/>
        <v>13.261091811886955</v>
      </c>
      <c r="T326" s="10">
        <f t="shared" si="68"/>
        <v>10.69980150606086</v>
      </c>
      <c r="U326" s="10">
        <f t="shared" si="69"/>
        <v>10.911366786155458</v>
      </c>
      <c r="V326" s="10">
        <f t="shared" si="70"/>
        <v>10.901238661044546</v>
      </c>
      <c r="W326" s="10">
        <f t="shared" si="71"/>
        <v>10.310431362908034</v>
      </c>
      <c r="X326" s="10">
        <f t="shared" si="72"/>
        <v>10.695300117122677</v>
      </c>
      <c r="Y326" s="10">
        <f t="shared" si="73"/>
        <v>10.870854285711811</v>
      </c>
      <c r="Z326" s="10">
        <f t="shared" si="74"/>
        <v>10.992391787042752</v>
      </c>
    </row>
    <row r="327" spans="1:26" x14ac:dyDescent="0.3">
      <c r="A327" s="5" t="s">
        <v>34</v>
      </c>
      <c r="B327" s="5">
        <v>2022</v>
      </c>
      <c r="C327" s="5" t="s">
        <v>31</v>
      </c>
      <c r="D327" s="21">
        <f t="shared" si="64"/>
        <v>44562</v>
      </c>
      <c r="E327" s="4">
        <f>AVERAGE(All_India_Index_Upto_April23__1___1[[#This Row],[Cereals and products]:[Food and beverages]])</f>
        <v>166.47692307692307</v>
      </c>
      <c r="F327" s="5">
        <f>AVERAGE(All_India_Index_Upto_April23__1___1[[#This Row],[Pan, tobacco and intoxicants]])</f>
        <v>192.2</v>
      </c>
      <c r="G327" s="4">
        <f>AVERAGE(All_India_Index_Upto_April23__1___1[[#This Row],[Clothing]:[Clothing and footwear]])</f>
        <v>166.36666666666667</v>
      </c>
      <c r="H327" s="5">
        <f>AVERAGE(All_India_Index_Upto_April23__1___1[[#This Row],[Housing]:[Fuel and light]])</f>
        <v>164.2</v>
      </c>
      <c r="I327" s="5">
        <f>AVERAGE(All_India_Index_Upto_April23__1___1[[#This Row],[Household goods and services]:[Health]])</f>
        <v>166.25</v>
      </c>
      <c r="J327" s="5">
        <f>AVERAGE(All_India_Index_Upto_April23__1___1[[#This Row],[Transport and communication]])</f>
        <v>156.5</v>
      </c>
      <c r="K327" s="5">
        <f>AVERAGE(All_India_Index_Upto_April23__1___1[[#This Row],[Recreation and amusement]])</f>
        <v>161.19999999999999</v>
      </c>
      <c r="L327" s="5">
        <f>AVERAGE(All_India_Index_Upto_April23__1___1[[#This Row],[Education]])</f>
        <v>164.7</v>
      </c>
      <c r="M327" s="5">
        <f>AVERAGE(All_India_Index_Upto_April23__1___1[[#This Row],[Personal care and effects]])</f>
        <v>163</v>
      </c>
      <c r="N327" s="5">
        <f>AVERAGE(All_India_Index_Upto_April23__1___1[[#This Row],[Miscellaneous]])</f>
        <v>162.69999999999999</v>
      </c>
      <c r="O327" s="5">
        <f>AVERAGE(All_India_Index_Upto_April23__1___1[[#This Row],[General index]])</f>
        <v>165.7</v>
      </c>
      <c r="P327" s="2">
        <f>AVERAGE(E327:N327)</f>
        <v>166.359358974359</v>
      </c>
      <c r="R327" s="10">
        <f t="shared" si="66"/>
        <v>100.07066876386691</v>
      </c>
      <c r="S327" s="10">
        <f t="shared" si="67"/>
        <v>115.53302512401712</v>
      </c>
      <c r="T327" s="10">
        <f t="shared" si="68"/>
        <v>100.00439271487502</v>
      </c>
      <c r="U327" s="10">
        <f t="shared" si="69"/>
        <v>98.701991287011495</v>
      </c>
      <c r="V327" s="10">
        <f t="shared" si="70"/>
        <v>99.93426340722084</v>
      </c>
      <c r="W327" s="10">
        <f t="shared" si="71"/>
        <v>94.073456981834951</v>
      </c>
      <c r="X327" s="10">
        <f t="shared" si="72"/>
        <v>96.898666233046598</v>
      </c>
      <c r="Y327" s="10">
        <f t="shared" si="73"/>
        <v>99.002545462672316</v>
      </c>
      <c r="Z327" s="10">
        <f t="shared" si="74"/>
        <v>97.980661265425539</v>
      </c>
    </row>
    <row r="328" spans="1:26" hidden="1" x14ac:dyDescent="0.3">
      <c r="A328" s="6" t="s">
        <v>30</v>
      </c>
      <c r="B328" s="6">
        <v>2022</v>
      </c>
      <c r="C328" s="6" t="s">
        <v>35</v>
      </c>
      <c r="D328" s="21">
        <f t="shared" si="64"/>
        <v>44593</v>
      </c>
      <c r="E328" s="4">
        <f>AVERAGE(All_India_Index_Upto_April23__1___1[[#This Row],[Cereals and products]:[Food and beverages]])</f>
        <v>165.41538461538462</v>
      </c>
      <c r="F328" s="5">
        <f>AVERAGE(All_India_Index_Upto_April23__1___1[[#This Row],[Pan, tobacco and intoxicants]])</f>
        <v>191.5</v>
      </c>
      <c r="G328" s="4">
        <f>AVERAGE(All_India_Index_Upto_April23__1___1[[#This Row],[Clothing]:[Clothing and footwear]])</f>
        <v>172.93333333333331</v>
      </c>
      <c r="H328" s="5">
        <f>AVERAGE(All_India_Index_Upto_April23__1___1[[#This Row],[Housing]:[Fuel and light]])</f>
        <v>167.4</v>
      </c>
      <c r="I328" s="5">
        <f>AVERAGE(All_India_Index_Upto_April23__1___1[[#This Row],[Household goods and services]:[Health]])</f>
        <v>170.5</v>
      </c>
      <c r="J328" s="5">
        <f>AVERAGE(All_India_Index_Upto_April23__1___1[[#This Row],[Transport and communication]])</f>
        <v>161.19999999999999</v>
      </c>
      <c r="K328" s="5">
        <f>AVERAGE(All_India_Index_Upto_April23__1___1[[#This Row],[Recreation and amusement]])</f>
        <v>165.5</v>
      </c>
      <c r="L328" s="5">
        <f>AVERAGE(All_India_Index_Upto_April23__1___1[[#This Row],[Education]])</f>
        <v>170.3</v>
      </c>
      <c r="M328" s="5">
        <f>AVERAGE(All_India_Index_Upto_April23__1___1[[#This Row],[Personal care and effects]])</f>
        <v>164.5</v>
      </c>
      <c r="N328" s="5">
        <f>AVERAGE(All_India_Index_Upto_April23__1___1[[#This Row],[Miscellaneous]])</f>
        <v>167.3</v>
      </c>
      <c r="O328" s="5">
        <f>AVERAGE(All_India_Index_Upto_April23__1___1[[#This Row],[General index]])</f>
        <v>166.7</v>
      </c>
      <c r="P328" s="2">
        <f t="shared" si="65"/>
        <v>1529.2487179487177</v>
      </c>
      <c r="R328" s="10">
        <f t="shared" si="66"/>
        <v>10.816774451004099</v>
      </c>
      <c r="S328" s="10">
        <f t="shared" si="67"/>
        <v>12.522488837320825</v>
      </c>
      <c r="T328" s="10">
        <f t="shared" si="68"/>
        <v>11.308385045782494</v>
      </c>
      <c r="U328" s="10">
        <f t="shared" si="69"/>
        <v>10.946551599830318</v>
      </c>
      <c r="V328" s="10">
        <f t="shared" si="70"/>
        <v>11.149265518345695</v>
      </c>
      <c r="W328" s="10">
        <f t="shared" si="71"/>
        <v>10.541123762799566</v>
      </c>
      <c r="X328" s="10">
        <f t="shared" si="72"/>
        <v>10.822307585256379</v>
      </c>
      <c r="Y328" s="10">
        <f t="shared" si="73"/>
        <v>11.136187201022123</v>
      </c>
      <c r="Z328" s="10">
        <f t="shared" si="74"/>
        <v>10.756915998638515</v>
      </c>
    </row>
    <row r="329" spans="1:26" hidden="1" x14ac:dyDescent="0.3">
      <c r="A329" s="5" t="s">
        <v>32</v>
      </c>
      <c r="B329" s="5">
        <v>2022</v>
      </c>
      <c r="C329" s="5" t="s">
        <v>35</v>
      </c>
      <c r="D329" s="21">
        <f t="shared" si="64"/>
        <v>44593</v>
      </c>
      <c r="E329" s="4">
        <f>AVERAGE(All_India_Index_Upto_April23__1___1[[#This Row],[Cereals and products]:[Food and beverages]])</f>
        <v>167.96153846153845</v>
      </c>
      <c r="F329" s="5">
        <f>AVERAGE(All_India_Index_Upto_April23__1___1[[#This Row],[Pan, tobacco and intoxicants]])</f>
        <v>196.5</v>
      </c>
      <c r="G329" s="4">
        <f>AVERAGE(All_India_Index_Upto_April23__1___1[[#This Row],[Clothing]:[Clothing and footwear]])</f>
        <v>159.83333333333334</v>
      </c>
      <c r="H329" s="5">
        <f>AVERAGE(All_India_Index_Upto_April23__1___1[[#This Row],[Housing]:[Fuel and light]])</f>
        <v>163</v>
      </c>
      <c r="I329" s="5">
        <f>AVERAGE(All_India_Index_Upto_April23__1___1[[#This Row],[Household goods and services]:[Health]])</f>
        <v>162.30000000000001</v>
      </c>
      <c r="J329" s="5">
        <f>AVERAGE(All_India_Index_Upto_April23__1___1[[#This Row],[Transport and communication]])</f>
        <v>153.1</v>
      </c>
      <c r="K329" s="5">
        <f>AVERAGE(All_India_Index_Upto_April23__1___1[[#This Row],[Recreation and amusement]])</f>
        <v>159.5</v>
      </c>
      <c r="L329" s="5">
        <f>AVERAGE(All_India_Index_Upto_April23__1___1[[#This Row],[Education]])</f>
        <v>162</v>
      </c>
      <c r="M329" s="5">
        <f>AVERAGE(All_India_Index_Upto_April23__1___1[[#This Row],[Personal care and effects]])</f>
        <v>164.2</v>
      </c>
      <c r="N329" s="5">
        <f>AVERAGE(All_India_Index_Upto_April23__1___1[[#This Row],[Miscellaneous]])</f>
        <v>159.4</v>
      </c>
      <c r="O329" s="5">
        <f>AVERAGE(All_India_Index_Upto_April23__1___1[[#This Row],[General index]])</f>
        <v>165.5</v>
      </c>
      <c r="P329" s="2">
        <f t="shared" si="65"/>
        <v>1488.3948717948717</v>
      </c>
      <c r="R329" s="10">
        <f t="shared" si="66"/>
        <v>11.284743158177628</v>
      </c>
      <c r="S329" s="10">
        <f t="shared" si="67"/>
        <v>13.202141697991642</v>
      </c>
      <c r="T329" s="10">
        <f t="shared" si="68"/>
        <v>10.73863773398981</v>
      </c>
      <c r="U329" s="10">
        <f t="shared" si="69"/>
        <v>10.951394894517239</v>
      </c>
      <c r="V329" s="10">
        <f t="shared" si="70"/>
        <v>10.904364364295388</v>
      </c>
      <c r="W329" s="10">
        <f t="shared" si="71"/>
        <v>10.286248824236745</v>
      </c>
      <c r="X329" s="10">
        <f t="shared" si="72"/>
        <v>10.716242243407974</v>
      </c>
      <c r="Y329" s="10">
        <f t="shared" si="73"/>
        <v>10.884208422771735</v>
      </c>
      <c r="Z329" s="10">
        <f t="shared" si="74"/>
        <v>11.032018660611845</v>
      </c>
    </row>
    <row r="330" spans="1:26" x14ac:dyDescent="0.3">
      <c r="A330" s="6" t="s">
        <v>34</v>
      </c>
      <c r="B330" s="6">
        <v>2022</v>
      </c>
      <c r="C330" s="6" t="s">
        <v>35</v>
      </c>
      <c r="D330" s="21">
        <f t="shared" si="64"/>
        <v>44593</v>
      </c>
      <c r="E330" s="4">
        <f>AVERAGE(All_India_Index_Upto_April23__1___1[[#This Row],[Cereals and products]:[Food and beverages]])</f>
        <v>166.24615384615387</v>
      </c>
      <c r="F330" s="5">
        <f>AVERAGE(All_India_Index_Upto_April23__1___1[[#This Row],[Pan, tobacco and intoxicants]])</f>
        <v>192.8</v>
      </c>
      <c r="G330" s="4">
        <f>AVERAGE(All_India_Index_Upto_April23__1___1[[#This Row],[Clothing]:[Clothing and footwear]])</f>
        <v>167.60000000000002</v>
      </c>
      <c r="H330" s="5">
        <f>AVERAGE(All_India_Index_Upto_April23__1___1[[#This Row],[Housing]:[Fuel and light]])</f>
        <v>165.7</v>
      </c>
      <c r="I330" s="5">
        <f>AVERAGE(All_India_Index_Upto_April23__1___1[[#This Row],[Household goods and services]:[Health]])</f>
        <v>167</v>
      </c>
      <c r="J330" s="5">
        <f>AVERAGE(All_India_Index_Upto_April23__1___1[[#This Row],[Transport and communication]])</f>
        <v>156.9</v>
      </c>
      <c r="K330" s="5">
        <f>AVERAGE(All_India_Index_Upto_April23__1___1[[#This Row],[Recreation and amusement]])</f>
        <v>162.1</v>
      </c>
      <c r="L330" s="5">
        <f>AVERAGE(All_India_Index_Upto_April23__1___1[[#This Row],[Education]])</f>
        <v>165.4</v>
      </c>
      <c r="M330" s="5">
        <f>AVERAGE(All_India_Index_Upto_April23__1___1[[#This Row],[Personal care and effects]])</f>
        <v>164.4</v>
      </c>
      <c r="N330" s="5">
        <f>AVERAGE(All_India_Index_Upto_April23__1___1[[#This Row],[Miscellaneous]])</f>
        <v>163.5</v>
      </c>
      <c r="O330" s="5">
        <f>AVERAGE(All_India_Index_Upto_April23__1___1[[#This Row],[General index]])</f>
        <v>166.1</v>
      </c>
      <c r="P330" s="2">
        <f>AVERAGE(E330:N330)</f>
        <v>167.16461538461539</v>
      </c>
      <c r="R330" s="10">
        <f t="shared" si="66"/>
        <v>99.450564620779161</v>
      </c>
      <c r="S330" s="10">
        <f t="shared" si="67"/>
        <v>115.33541327295987</v>
      </c>
      <c r="T330" s="10">
        <f t="shared" si="68"/>
        <v>100.2604526169506</v>
      </c>
      <c r="U330" s="10">
        <f t="shared" si="69"/>
        <v>99.123848440505441</v>
      </c>
      <c r="V330" s="10">
        <f t="shared" si="70"/>
        <v>99.901524982283689</v>
      </c>
      <c r="W330" s="10">
        <f t="shared" si="71"/>
        <v>93.859576465391086</v>
      </c>
      <c r="X330" s="10">
        <f t="shared" si="72"/>
        <v>96.970282632504109</v>
      </c>
      <c r="Y330" s="10">
        <f t="shared" si="73"/>
        <v>98.944384623171999</v>
      </c>
      <c r="Z330" s="10">
        <f t="shared" si="74"/>
        <v>98.346171898727192</v>
      </c>
    </row>
    <row r="331" spans="1:26" hidden="1" x14ac:dyDescent="0.3">
      <c r="A331" s="5" t="s">
        <v>30</v>
      </c>
      <c r="B331" s="5">
        <v>2022</v>
      </c>
      <c r="C331" s="5" t="s">
        <v>37</v>
      </c>
      <c r="D331" s="21">
        <f t="shared" si="64"/>
        <v>44621</v>
      </c>
      <c r="E331" s="4">
        <f>AVERAGE(All_India_Index_Upto_April23__1___1[[#This Row],[Cereals and products]:[Food and beverages]])</f>
        <v>167.62307692307695</v>
      </c>
      <c r="F331" s="5">
        <f>AVERAGE(All_India_Index_Upto_April23__1___1[[#This Row],[Pan, tobacco and intoxicants]])</f>
        <v>192.3</v>
      </c>
      <c r="G331" s="4">
        <f>AVERAGE(All_India_Index_Upto_April23__1___1[[#This Row],[Clothing]:[Clothing and footwear]])</f>
        <v>174.56666666666669</v>
      </c>
      <c r="H331" s="5">
        <f>AVERAGE(All_India_Index_Upto_April23__1___1[[#This Row],[Housing]:[Fuel and light]])</f>
        <v>168.9</v>
      </c>
      <c r="I331" s="5">
        <f>AVERAGE(All_India_Index_Upto_April23__1___1[[#This Row],[Household goods and services]:[Health]])</f>
        <v>171.25</v>
      </c>
      <c r="J331" s="5">
        <f>AVERAGE(All_India_Index_Upto_April23__1___1[[#This Row],[Transport and communication]])</f>
        <v>162</v>
      </c>
      <c r="K331" s="5">
        <f>AVERAGE(All_India_Index_Upto_April23__1___1[[#This Row],[Recreation and amusement]])</f>
        <v>166.6</v>
      </c>
      <c r="L331" s="5">
        <f>AVERAGE(All_India_Index_Upto_April23__1___1[[#This Row],[Education]])</f>
        <v>170.6</v>
      </c>
      <c r="M331" s="5">
        <f>AVERAGE(All_India_Index_Upto_April23__1___1[[#This Row],[Personal care and effects]])</f>
        <v>167.4</v>
      </c>
      <c r="N331" s="5">
        <f>AVERAGE(All_India_Index_Upto_April23__1___1[[#This Row],[Miscellaneous]])</f>
        <v>168.3</v>
      </c>
      <c r="O331" s="5">
        <f>AVERAGE(All_India_Index_Upto_April23__1___1[[#This Row],[General index]])</f>
        <v>168.7</v>
      </c>
      <c r="P331" s="2">
        <f t="shared" si="65"/>
        <v>1541.2397435897435</v>
      </c>
      <c r="R331" s="10">
        <f t="shared" si="66"/>
        <v>10.875860009466241</v>
      </c>
      <c r="S331" s="10">
        <f t="shared" si="67"/>
        <v>12.476968674069411</v>
      </c>
      <c r="T331" s="10">
        <f t="shared" si="68"/>
        <v>11.326379779182096</v>
      </c>
      <c r="U331" s="10">
        <f t="shared" si="69"/>
        <v>10.958710395477501</v>
      </c>
      <c r="V331" s="10">
        <f t="shared" si="70"/>
        <v>11.111185051660877</v>
      </c>
      <c r="W331" s="10">
        <f t="shared" si="71"/>
        <v>10.511018851790142</v>
      </c>
      <c r="X331" s="10">
        <f t="shared" si="72"/>
        <v>10.809479880915047</v>
      </c>
      <c r="Y331" s="10">
        <f t="shared" si="73"/>
        <v>11.069011210588879</v>
      </c>
      <c r="Z331" s="10">
        <f t="shared" si="74"/>
        <v>10.861386146849815</v>
      </c>
    </row>
    <row r="332" spans="1:26" hidden="1" x14ac:dyDescent="0.3">
      <c r="A332" s="6" t="s">
        <v>32</v>
      </c>
      <c r="B332" s="6">
        <v>2022</v>
      </c>
      <c r="C332" s="6" t="s">
        <v>37</v>
      </c>
      <c r="D332" s="21">
        <f t="shared" si="64"/>
        <v>44621</v>
      </c>
      <c r="E332" s="4">
        <f>AVERAGE(All_India_Index_Upto_April23__1___1[[#This Row],[Cereals and products]:[Food and beverages]])</f>
        <v>168.94615384615386</v>
      </c>
      <c r="F332" s="5">
        <f>AVERAGE(All_India_Index_Upto_April23__1___1[[#This Row],[Pan, tobacco and intoxicants]])</f>
        <v>197.5</v>
      </c>
      <c r="G332" s="4">
        <f>AVERAGE(All_India_Index_Upto_April23__1___1[[#This Row],[Clothing]:[Clothing and footwear]])</f>
        <v>161.53333333333333</v>
      </c>
      <c r="H332" s="5">
        <f>AVERAGE(All_India_Index_Upto_April23__1___1[[#This Row],[Housing]:[Fuel and light]])</f>
        <v>164.5</v>
      </c>
      <c r="I332" s="5">
        <f>AVERAGE(All_India_Index_Upto_April23__1___1[[#This Row],[Household goods and services]:[Health]])</f>
        <v>163.39999999999998</v>
      </c>
      <c r="J332" s="5">
        <f>AVERAGE(All_India_Index_Upto_April23__1___1[[#This Row],[Transport and communication]])</f>
        <v>154.19999999999999</v>
      </c>
      <c r="K332" s="5">
        <f>AVERAGE(All_India_Index_Upto_April23__1___1[[#This Row],[Recreation and amusement]])</f>
        <v>160.80000000000001</v>
      </c>
      <c r="L332" s="5">
        <f>AVERAGE(All_India_Index_Upto_April23__1___1[[#This Row],[Education]])</f>
        <v>162.69999999999999</v>
      </c>
      <c r="M332" s="5">
        <f>AVERAGE(All_India_Index_Upto_April23__1___1[[#This Row],[Personal care and effects]])</f>
        <v>166.8</v>
      </c>
      <c r="N332" s="5">
        <f>AVERAGE(All_India_Index_Upto_April23__1___1[[#This Row],[Miscellaneous]])</f>
        <v>160.6</v>
      </c>
      <c r="O332" s="5">
        <f>AVERAGE(All_India_Index_Upto_April23__1___1[[#This Row],[General index]])</f>
        <v>166.5</v>
      </c>
      <c r="P332" s="2">
        <f t="shared" si="65"/>
        <v>1500.3794871794871</v>
      </c>
      <c r="R332" s="10">
        <f t="shared" si="66"/>
        <v>11.26022818158825</v>
      </c>
      <c r="S332" s="10">
        <f t="shared" si="67"/>
        <v>13.16333645505069</v>
      </c>
      <c r="T332" s="10">
        <f t="shared" si="68"/>
        <v>10.76616514112669</v>
      </c>
      <c r="U332" s="10">
        <f t="shared" si="69"/>
        <v>10.963892895472599</v>
      </c>
      <c r="V332" s="10">
        <f t="shared" si="70"/>
        <v>10.890578110153328</v>
      </c>
      <c r="W332" s="10">
        <f t="shared" si="71"/>
        <v>10.277399905664891</v>
      </c>
      <c r="X332" s="10">
        <f t="shared" si="72"/>
        <v>10.717288617580509</v>
      </c>
      <c r="Y332" s="10">
        <f t="shared" si="73"/>
        <v>10.843923246768339</v>
      </c>
      <c r="Z332" s="10">
        <f t="shared" si="74"/>
        <v>11.117187446594709</v>
      </c>
    </row>
    <row r="333" spans="1:26" x14ac:dyDescent="0.3">
      <c r="A333" s="5" t="s">
        <v>34</v>
      </c>
      <c r="B333" s="5">
        <v>2022</v>
      </c>
      <c r="C333" s="5" t="s">
        <v>37</v>
      </c>
      <c r="D333" s="21">
        <f t="shared" si="64"/>
        <v>44621</v>
      </c>
      <c r="E333" s="4">
        <f>AVERAGE(All_India_Index_Upto_April23__1___1[[#This Row],[Cereals and products]:[Food and beverages]])</f>
        <v>168.01538461538465</v>
      </c>
      <c r="F333" s="5">
        <f>AVERAGE(All_India_Index_Upto_April23__1___1[[#This Row],[Pan, tobacco and intoxicants]])</f>
        <v>193.7</v>
      </c>
      <c r="G333" s="4">
        <f>AVERAGE(All_India_Index_Upto_April23__1___1[[#This Row],[Clothing]:[Clothing and footwear]])</f>
        <v>169.26666666666665</v>
      </c>
      <c r="H333" s="5">
        <f>AVERAGE(All_India_Index_Upto_April23__1___1[[#This Row],[Housing]:[Fuel and light]])</f>
        <v>167.2</v>
      </c>
      <c r="I333" s="5">
        <f>AVERAGE(All_India_Index_Upto_April23__1___1[[#This Row],[Household goods and services]:[Health]])</f>
        <v>167.9</v>
      </c>
      <c r="J333" s="5">
        <f>AVERAGE(All_India_Index_Upto_April23__1___1[[#This Row],[Transport and communication]])</f>
        <v>157.9</v>
      </c>
      <c r="K333" s="5">
        <f>AVERAGE(All_India_Index_Upto_April23__1___1[[#This Row],[Recreation and amusement]])</f>
        <v>163.30000000000001</v>
      </c>
      <c r="L333" s="5">
        <f>AVERAGE(All_India_Index_Upto_April23__1___1[[#This Row],[Education]])</f>
        <v>166</v>
      </c>
      <c r="M333" s="5">
        <f>AVERAGE(All_India_Index_Upto_April23__1___1[[#This Row],[Personal care and effects]])</f>
        <v>167.2</v>
      </c>
      <c r="N333" s="5">
        <f>AVERAGE(All_India_Index_Upto_April23__1___1[[#This Row],[Miscellaneous]])</f>
        <v>164.6</v>
      </c>
      <c r="O333" s="5">
        <f>AVERAGE(All_India_Index_Upto_April23__1___1[[#This Row],[General index]])</f>
        <v>167.7</v>
      </c>
      <c r="P333" s="2">
        <f>AVERAGE(E333:N333)</f>
        <v>168.50820512820513</v>
      </c>
      <c r="R333" s="10">
        <f t="shared" si="66"/>
        <v>99.707539159623977</v>
      </c>
      <c r="S333" s="10">
        <f t="shared" si="67"/>
        <v>114.94989211512183</v>
      </c>
      <c r="T333" s="10">
        <f t="shared" si="68"/>
        <v>100.45010362426237</v>
      </c>
      <c r="U333" s="10">
        <f t="shared" si="69"/>
        <v>99.223654938814505</v>
      </c>
      <c r="V333" s="10">
        <f t="shared" si="70"/>
        <v>99.639064977433961</v>
      </c>
      <c r="W333" s="10">
        <f t="shared" si="71"/>
        <v>93.704635854299113</v>
      </c>
      <c r="X333" s="10">
        <f t="shared" si="72"/>
        <v>96.909227580791935</v>
      </c>
      <c r="Y333" s="10">
        <f t="shared" si="73"/>
        <v>98.511523444038332</v>
      </c>
      <c r="Z333" s="10">
        <f t="shared" si="74"/>
        <v>99.223654938814505</v>
      </c>
    </row>
    <row r="334" spans="1:26" hidden="1" x14ac:dyDescent="0.3">
      <c r="A334" s="6" t="s">
        <v>30</v>
      </c>
      <c r="B334" s="6">
        <v>2022</v>
      </c>
      <c r="C334" s="6" t="s">
        <v>38</v>
      </c>
      <c r="D334" s="21">
        <f t="shared" si="64"/>
        <v>44652</v>
      </c>
      <c r="E334" s="4">
        <f>AVERAGE(All_India_Index_Upto_April23__1___1[[#This Row],[Cereals and products]:[Food and beverages]])</f>
        <v>169.73846153846154</v>
      </c>
      <c r="F334" s="5">
        <f>AVERAGE(All_India_Index_Upto_April23__1___1[[#This Row],[Pan, tobacco and intoxicants]])</f>
        <v>192.8</v>
      </c>
      <c r="G334" s="4">
        <f>AVERAGE(All_India_Index_Upto_April23__1___1[[#This Row],[Clothing]:[Clothing and footwear]])</f>
        <v>176.56666666666669</v>
      </c>
      <c r="H334" s="5">
        <f>AVERAGE(All_India_Index_Upto_April23__1___1[[#This Row],[Housing]:[Fuel and light]])</f>
        <v>173.3</v>
      </c>
      <c r="I334" s="5">
        <f>AVERAGE(All_India_Index_Upto_April23__1___1[[#This Row],[Household goods and services]:[Health]])</f>
        <v>172.35</v>
      </c>
      <c r="J334" s="5">
        <f>AVERAGE(All_India_Index_Upto_April23__1___1[[#This Row],[Transport and communication]])</f>
        <v>166.2</v>
      </c>
      <c r="K334" s="5">
        <f>AVERAGE(All_India_Index_Upto_April23__1___1[[#This Row],[Recreation and amusement]])</f>
        <v>167.2</v>
      </c>
      <c r="L334" s="5">
        <f>AVERAGE(All_India_Index_Upto_April23__1___1[[#This Row],[Education]])</f>
        <v>170.9</v>
      </c>
      <c r="M334" s="5">
        <f>AVERAGE(All_India_Index_Upto_April23__1___1[[#This Row],[Personal care and effects]])</f>
        <v>169</v>
      </c>
      <c r="N334" s="5">
        <f>AVERAGE(All_India_Index_Upto_April23__1___1[[#This Row],[Miscellaneous]])</f>
        <v>170.2</v>
      </c>
      <c r="O334" s="5">
        <f>AVERAGE(All_India_Index_Upto_April23__1___1[[#This Row],[General index]])</f>
        <v>170.8</v>
      </c>
      <c r="P334" s="2">
        <f t="shared" si="65"/>
        <v>1558.0551282051283</v>
      </c>
      <c r="R334" s="10">
        <f t="shared" si="66"/>
        <v>10.894252614411622</v>
      </c>
      <c r="S334" s="10">
        <f t="shared" si="67"/>
        <v>12.374401682571055</v>
      </c>
      <c r="T334" s="10">
        <f t="shared" si="68"/>
        <v>11.332504445466613</v>
      </c>
      <c r="U334" s="10">
        <f t="shared" si="69"/>
        <v>11.1228413464189</v>
      </c>
      <c r="V334" s="10">
        <f t="shared" si="70"/>
        <v>11.06186789414482</v>
      </c>
      <c r="W334" s="10">
        <f t="shared" si="71"/>
        <v>10.667145018896832</v>
      </c>
      <c r="X334" s="10">
        <f t="shared" si="72"/>
        <v>10.731327600237968</v>
      </c>
      <c r="Y334" s="10">
        <f t="shared" si="73"/>
        <v>10.968803151200172</v>
      </c>
      <c r="Z334" s="10">
        <f t="shared" si="74"/>
        <v>10.846856246652013</v>
      </c>
    </row>
    <row r="335" spans="1:26" hidden="1" x14ac:dyDescent="0.3">
      <c r="A335" s="5" t="s">
        <v>32</v>
      </c>
      <c r="B335" s="5">
        <v>2022</v>
      </c>
      <c r="C335" s="5" t="s">
        <v>38</v>
      </c>
      <c r="D335" s="21">
        <f t="shared" si="64"/>
        <v>44652</v>
      </c>
      <c r="E335" s="4">
        <f>AVERAGE(All_India_Index_Upto_April23__1___1[[#This Row],[Cereals and products]:[Food and beverages]])</f>
        <v>171.56923076923078</v>
      </c>
      <c r="F335" s="5">
        <f>AVERAGE(All_India_Index_Upto_April23__1___1[[#This Row],[Pan, tobacco and intoxicants]])</f>
        <v>197.1</v>
      </c>
      <c r="G335" s="4">
        <f>AVERAGE(All_India_Index_Upto_April23__1___1[[#This Row],[Clothing]:[Clothing and footwear]])</f>
        <v>163.06666666666666</v>
      </c>
      <c r="H335" s="5">
        <f>AVERAGE(All_India_Index_Upto_April23__1___1[[#This Row],[Housing]:[Fuel and light]])</f>
        <v>170.5</v>
      </c>
      <c r="I335" s="5">
        <f>AVERAGE(All_India_Index_Upto_April23__1___1[[#This Row],[Household goods and services]:[Health]])</f>
        <v>164.4</v>
      </c>
      <c r="J335" s="5">
        <f>AVERAGE(All_India_Index_Upto_April23__1___1[[#This Row],[Transport and communication]])</f>
        <v>159.30000000000001</v>
      </c>
      <c r="K335" s="5">
        <f>AVERAGE(All_India_Index_Upto_April23__1___1[[#This Row],[Recreation and amusement]])</f>
        <v>162.19999999999999</v>
      </c>
      <c r="L335" s="5">
        <f>AVERAGE(All_India_Index_Upto_April23__1___1[[#This Row],[Education]])</f>
        <v>164</v>
      </c>
      <c r="M335" s="5">
        <f>AVERAGE(All_India_Index_Upto_April23__1___1[[#This Row],[Personal care and effects]])</f>
        <v>168.4</v>
      </c>
      <c r="N335" s="5">
        <f>AVERAGE(All_India_Index_Upto_April23__1___1[[#This Row],[Miscellaneous]])</f>
        <v>163.1</v>
      </c>
      <c r="O335" s="5">
        <f>AVERAGE(All_India_Index_Upto_April23__1___1[[#This Row],[General index]])</f>
        <v>169.2</v>
      </c>
      <c r="P335" s="2">
        <f t="shared" si="65"/>
        <v>1520.5358974358976</v>
      </c>
      <c r="R335" s="10">
        <f t="shared" si="66"/>
        <v>11.283471245798967</v>
      </c>
      <c r="S335" s="10">
        <f t="shared" si="67"/>
        <v>12.9625351385898</v>
      </c>
      <c r="T335" s="10">
        <f t="shared" si="68"/>
        <v>10.724289176049604</v>
      </c>
      <c r="U335" s="10">
        <f t="shared" si="69"/>
        <v>11.213151908318423</v>
      </c>
      <c r="V335" s="10">
        <f t="shared" si="70"/>
        <v>10.811977558519349</v>
      </c>
      <c r="W335" s="10">
        <f t="shared" si="71"/>
        <v>10.47656949557258</v>
      </c>
      <c r="X335" s="10">
        <f t="shared" si="72"/>
        <v>10.667291727444269</v>
      </c>
      <c r="Y335" s="10">
        <f t="shared" si="73"/>
        <v>10.785671043778423</v>
      </c>
      <c r="Z335" s="10">
        <f t="shared" si="74"/>
        <v>11.075042705928578</v>
      </c>
    </row>
    <row r="336" spans="1:26" x14ac:dyDescent="0.3">
      <c r="A336" s="6" t="s">
        <v>34</v>
      </c>
      <c r="B336" s="6">
        <v>2022</v>
      </c>
      <c r="C336" s="6" t="s">
        <v>38</v>
      </c>
      <c r="D336" s="21">
        <f t="shared" si="64"/>
        <v>44652</v>
      </c>
      <c r="E336" s="4">
        <f>AVERAGE(All_India_Index_Upto_April23__1___1[[#This Row],[Cereals and products]:[Food and beverages]])</f>
        <v>170.33076923076925</v>
      </c>
      <c r="F336" s="5">
        <f>AVERAGE(All_India_Index_Upto_April23__1___1[[#This Row],[Pan, tobacco and intoxicants]])</f>
        <v>193.9</v>
      </c>
      <c r="G336" s="4">
        <f>AVERAGE(All_India_Index_Upto_April23__1___1[[#This Row],[Clothing]:[Clothing and footwear]])</f>
        <v>171.06666666666669</v>
      </c>
      <c r="H336" s="5">
        <f>AVERAGE(All_India_Index_Upto_April23__1___1[[#This Row],[Housing]:[Fuel and light]])</f>
        <v>172.2</v>
      </c>
      <c r="I336" s="5">
        <f>AVERAGE(All_India_Index_Upto_April23__1___1[[#This Row],[Household goods and services]:[Health]])</f>
        <v>169</v>
      </c>
      <c r="J336" s="5">
        <f>AVERAGE(All_India_Index_Upto_April23__1___1[[#This Row],[Transport and communication]])</f>
        <v>162.6</v>
      </c>
      <c r="K336" s="5">
        <f>AVERAGE(All_India_Index_Upto_April23__1___1[[#This Row],[Recreation and amusement]])</f>
        <v>164.4</v>
      </c>
      <c r="L336" s="5">
        <f>AVERAGE(All_India_Index_Upto_April23__1___1[[#This Row],[Education]])</f>
        <v>166.9</v>
      </c>
      <c r="M336" s="5">
        <f>AVERAGE(All_India_Index_Upto_April23__1___1[[#This Row],[Personal care and effects]])</f>
        <v>168.8</v>
      </c>
      <c r="N336" s="5">
        <f>AVERAGE(All_India_Index_Upto_April23__1___1[[#This Row],[Miscellaneous]])</f>
        <v>166.8</v>
      </c>
      <c r="O336" s="5">
        <f>AVERAGE(All_India_Index_Upto_April23__1___1[[#This Row],[General index]])</f>
        <v>170.1</v>
      </c>
      <c r="P336" s="2">
        <f>AVERAGE(E336:N336)</f>
        <v>170.59974358974358</v>
      </c>
      <c r="R336" s="10">
        <f t="shared" si="66"/>
        <v>99.842336012168261</v>
      </c>
      <c r="S336" s="10">
        <f t="shared" si="67"/>
        <v>113.65784960749332</v>
      </c>
      <c r="T336" s="10">
        <f t="shared" si="68"/>
        <v>100.27369506371942</v>
      </c>
      <c r="U336" s="10">
        <f t="shared" si="69"/>
        <v>100.9380180629724</v>
      </c>
      <c r="V336" s="10">
        <f t="shared" si="70"/>
        <v>99.062282535669794</v>
      </c>
      <c r="W336" s="10">
        <f t="shared" si="71"/>
        <v>95.310811481064533</v>
      </c>
      <c r="X336" s="10">
        <f t="shared" si="72"/>
        <v>96.365912715172271</v>
      </c>
      <c r="Y336" s="10">
        <f t="shared" si="73"/>
        <v>97.831331095877445</v>
      </c>
      <c r="Z336" s="10">
        <f t="shared" si="74"/>
        <v>98.945049065213382</v>
      </c>
    </row>
    <row r="337" spans="1:26" hidden="1" x14ac:dyDescent="0.3">
      <c r="A337" s="5" t="s">
        <v>30</v>
      </c>
      <c r="B337" s="5">
        <v>2022</v>
      </c>
      <c r="C337" s="5" t="s">
        <v>40</v>
      </c>
      <c r="D337" s="21">
        <f t="shared" si="64"/>
        <v>44682</v>
      </c>
      <c r="E337" s="4">
        <f>AVERAGE(All_India_Index_Upto_April23__1___1[[#This Row],[Cereals and products]:[Food and beverages]])</f>
        <v>171.2923076923077</v>
      </c>
      <c r="F337" s="5">
        <f>AVERAGE(All_India_Index_Upto_April23__1___1[[#This Row],[Pan, tobacco and intoxicants]])</f>
        <v>192.9</v>
      </c>
      <c r="G337" s="4">
        <f>AVERAGE(All_India_Index_Upto_April23__1___1[[#This Row],[Clothing]:[Clothing and footwear]])</f>
        <v>178.5</v>
      </c>
      <c r="H337" s="5">
        <f>AVERAGE(All_India_Index_Upto_April23__1___1[[#This Row],[Housing]:[Fuel and light]])</f>
        <v>175.3</v>
      </c>
      <c r="I337" s="5">
        <f>AVERAGE(All_India_Index_Upto_April23__1___1[[#This Row],[Household goods and services]:[Health]])</f>
        <v>173.3</v>
      </c>
      <c r="J337" s="5">
        <f>AVERAGE(All_India_Index_Upto_April23__1___1[[#This Row],[Transport and communication]])</f>
        <v>167.1</v>
      </c>
      <c r="K337" s="5">
        <f>AVERAGE(All_India_Index_Upto_April23__1___1[[#This Row],[Recreation and amusement]])</f>
        <v>167.6</v>
      </c>
      <c r="L337" s="5">
        <f>AVERAGE(All_India_Index_Upto_April23__1___1[[#This Row],[Education]])</f>
        <v>171.8</v>
      </c>
      <c r="M337" s="5">
        <f>AVERAGE(All_India_Index_Upto_April23__1___1[[#This Row],[Personal care and effects]])</f>
        <v>168.5</v>
      </c>
      <c r="N337" s="5">
        <f>AVERAGE(All_India_Index_Upto_April23__1___1[[#This Row],[Miscellaneous]])</f>
        <v>170.9</v>
      </c>
      <c r="O337" s="5">
        <f>AVERAGE(All_India_Index_Upto_April23__1___1[[#This Row],[General index]])</f>
        <v>172.5</v>
      </c>
      <c r="P337" s="2">
        <f t="shared" si="65"/>
        <v>1566.2923076923075</v>
      </c>
      <c r="R337" s="10">
        <f t="shared" si="66"/>
        <v>10.936164779145265</v>
      </c>
      <c r="S337" s="10">
        <f t="shared" si="67"/>
        <v>12.315708827313895</v>
      </c>
      <c r="T337" s="10">
        <f t="shared" si="68"/>
        <v>11.396340205679262</v>
      </c>
      <c r="U337" s="10">
        <f t="shared" si="69"/>
        <v>11.192036067538236</v>
      </c>
      <c r="V337" s="10">
        <f t="shared" si="70"/>
        <v>11.064345981200093</v>
      </c>
      <c r="W337" s="10">
        <f t="shared" si="71"/>
        <v>10.668506713551848</v>
      </c>
      <c r="X337" s="10">
        <f t="shared" si="72"/>
        <v>10.700429235136385</v>
      </c>
      <c r="Y337" s="10">
        <f t="shared" si="73"/>
        <v>10.968578416446485</v>
      </c>
      <c r="Z337" s="10">
        <f t="shared" si="74"/>
        <v>10.757889773988548</v>
      </c>
    </row>
    <row r="338" spans="1:26" hidden="1" x14ac:dyDescent="0.3">
      <c r="A338" s="6" t="s">
        <v>32</v>
      </c>
      <c r="B338" s="6">
        <v>2022</v>
      </c>
      <c r="C338" s="6" t="s">
        <v>40</v>
      </c>
      <c r="D338" s="21">
        <f t="shared" si="64"/>
        <v>44682</v>
      </c>
      <c r="E338" s="4">
        <f>AVERAGE(All_India_Index_Upto_April23__1___1[[#This Row],[Cereals and products]:[Food and beverages]])</f>
        <v>174.01538461538465</v>
      </c>
      <c r="F338" s="5">
        <f>AVERAGE(All_India_Index_Upto_April23__1___1[[#This Row],[Pan, tobacco and intoxicants]])</f>
        <v>197.5</v>
      </c>
      <c r="G338" s="4">
        <f>AVERAGE(All_India_Index_Upto_April23__1___1[[#This Row],[Clothing]:[Clothing and footwear]])</f>
        <v>164.56666666666666</v>
      </c>
      <c r="H338" s="5">
        <f>AVERAGE(All_India_Index_Upto_April23__1___1[[#This Row],[Housing]:[Fuel and light]])</f>
        <v>173.5</v>
      </c>
      <c r="I338" s="5">
        <f>AVERAGE(All_India_Index_Upto_April23__1___1[[#This Row],[Household goods and services]:[Health]])</f>
        <v>165.6</v>
      </c>
      <c r="J338" s="5">
        <f>AVERAGE(All_India_Index_Upto_April23__1___1[[#This Row],[Transport and communication]])</f>
        <v>159.4</v>
      </c>
      <c r="K338" s="5">
        <f>AVERAGE(All_India_Index_Upto_April23__1___1[[#This Row],[Recreation and amusement]])</f>
        <v>163.19999999999999</v>
      </c>
      <c r="L338" s="5">
        <f>AVERAGE(All_India_Index_Upto_April23__1___1[[#This Row],[Education]])</f>
        <v>165.2</v>
      </c>
      <c r="M338" s="5">
        <f>AVERAGE(All_India_Index_Upto_April23__1___1[[#This Row],[Personal care and effects]])</f>
        <v>168.2</v>
      </c>
      <c r="N338" s="5">
        <f>AVERAGE(All_India_Index_Upto_April23__1___1[[#This Row],[Miscellaneous]])</f>
        <v>163.80000000000001</v>
      </c>
      <c r="O338" s="5">
        <f>AVERAGE(All_India_Index_Upto_April23__1___1[[#This Row],[General index]])</f>
        <v>170.8</v>
      </c>
      <c r="P338" s="2">
        <f t="shared" si="65"/>
        <v>1531.1820512820514</v>
      </c>
      <c r="R338" s="10">
        <f t="shared" si="66"/>
        <v>11.364774323842315</v>
      </c>
      <c r="S338" s="10">
        <f t="shared" si="67"/>
        <v>12.898531551792564</v>
      </c>
      <c r="T338" s="10">
        <f t="shared" si="68"/>
        <v>10.747687809485214</v>
      </c>
      <c r="U338" s="10">
        <f t="shared" si="69"/>
        <v>11.331115059422835</v>
      </c>
      <c r="V338" s="10">
        <f t="shared" si="70"/>
        <v>10.815173797351132</v>
      </c>
      <c r="W338" s="10">
        <f t="shared" si="71"/>
        <v>10.410257870155618</v>
      </c>
      <c r="X338" s="10">
        <f t="shared" si="72"/>
        <v>10.658432148114159</v>
      </c>
      <c r="Y338" s="10">
        <f t="shared" si="73"/>
        <v>10.789050189144969</v>
      </c>
      <c r="Z338" s="10">
        <f t="shared" si="74"/>
        <v>10.984977250691186</v>
      </c>
    </row>
    <row r="339" spans="1:26" x14ac:dyDescent="0.3">
      <c r="A339" s="5" t="s">
        <v>34</v>
      </c>
      <c r="B339" s="5">
        <v>2022</v>
      </c>
      <c r="C339" s="5" t="s">
        <v>40</v>
      </c>
      <c r="D339" s="21">
        <f t="shared" si="64"/>
        <v>44682</v>
      </c>
      <c r="E339" s="4">
        <f>AVERAGE(All_India_Index_Upto_April23__1___1[[#This Row],[Cereals and products]:[Food and beverages]])</f>
        <v>172.22307692307697</v>
      </c>
      <c r="F339" s="5">
        <f>AVERAGE(All_India_Index_Upto_April23__1___1[[#This Row],[Pan, tobacco and intoxicants]])</f>
        <v>194.1</v>
      </c>
      <c r="G339" s="4">
        <f>AVERAGE(All_India_Index_Upto_April23__1___1[[#This Row],[Clothing]:[Clothing and footwear]])</f>
        <v>172.86666666666667</v>
      </c>
      <c r="H339" s="5">
        <f>AVERAGE(All_India_Index_Upto_April23__1___1[[#This Row],[Housing]:[Fuel and light]])</f>
        <v>174.6</v>
      </c>
      <c r="I339" s="5">
        <f>AVERAGE(All_India_Index_Upto_April23__1___1[[#This Row],[Household goods and services]:[Health]])</f>
        <v>170</v>
      </c>
      <c r="J339" s="5">
        <f>AVERAGE(All_India_Index_Upto_April23__1___1[[#This Row],[Transport and communication]])</f>
        <v>163</v>
      </c>
      <c r="K339" s="5">
        <f>AVERAGE(All_India_Index_Upto_April23__1___1[[#This Row],[Recreation and amusement]])</f>
        <v>165.1</v>
      </c>
      <c r="L339" s="5">
        <f>AVERAGE(All_India_Index_Upto_April23__1___1[[#This Row],[Education]])</f>
        <v>167.9</v>
      </c>
      <c r="M339" s="5">
        <f>AVERAGE(All_India_Index_Upto_April23__1___1[[#This Row],[Personal care and effects]])</f>
        <v>168.4</v>
      </c>
      <c r="N339" s="5">
        <f>AVERAGE(All_India_Index_Upto_April23__1___1[[#This Row],[Miscellaneous]])</f>
        <v>167.5</v>
      </c>
      <c r="O339" s="5">
        <f>AVERAGE(All_India_Index_Upto_April23__1___1[[#This Row],[General index]])</f>
        <v>171.7</v>
      </c>
      <c r="P339" s="2">
        <f>AVERAGE(E339:N339)</f>
        <v>171.56897435897437</v>
      </c>
      <c r="R339" s="10">
        <f t="shared" si="66"/>
        <v>100.38124758077413</v>
      </c>
      <c r="S339" s="10">
        <f t="shared" si="67"/>
        <v>113.13234267746095</v>
      </c>
      <c r="T339" s="10">
        <f t="shared" si="68"/>
        <v>100.75636770141037</v>
      </c>
      <c r="U339" s="10">
        <f t="shared" si="69"/>
        <v>101.76665137292468</v>
      </c>
      <c r="V339" s="10">
        <f t="shared" si="70"/>
        <v>99.085513936982807</v>
      </c>
      <c r="W339" s="10">
        <f t="shared" si="71"/>
        <v>95.005522186636455</v>
      </c>
      <c r="X339" s="10">
        <f t="shared" si="72"/>
        <v>96.229519711740352</v>
      </c>
      <c r="Y339" s="10">
        <f t="shared" si="73"/>
        <v>97.861516411878895</v>
      </c>
      <c r="Z339" s="10">
        <f t="shared" si="74"/>
        <v>98.1529443940465</v>
      </c>
    </row>
    <row r="340" spans="1:26" hidden="1" x14ac:dyDescent="0.3">
      <c r="A340" s="6" t="s">
        <v>30</v>
      </c>
      <c r="B340" s="6">
        <v>2022</v>
      </c>
      <c r="C340" s="6" t="s">
        <v>41</v>
      </c>
      <c r="D340" s="21">
        <f t="shared" si="64"/>
        <v>44713</v>
      </c>
      <c r="E340" s="4">
        <f>AVERAGE(All_India_Index_Upto_April23__1___1[[#This Row],[Cereals and products]:[Food and beverages]])</f>
        <v>172.94615384615386</v>
      </c>
      <c r="F340" s="5">
        <f>AVERAGE(All_India_Index_Upto_April23__1___1[[#This Row],[Pan, tobacco and intoxicants]])</f>
        <v>192.9</v>
      </c>
      <c r="G340" s="4">
        <f>AVERAGE(All_India_Index_Upto_April23__1___1[[#This Row],[Clothing]:[Clothing and footwear]])</f>
        <v>179.93333333333331</v>
      </c>
      <c r="H340" s="5">
        <f>AVERAGE(All_India_Index_Upto_April23__1___1[[#This Row],[Housing]:[Fuel and light]])</f>
        <v>176.7</v>
      </c>
      <c r="I340" s="5">
        <f>AVERAGE(All_India_Index_Upto_April23__1___1[[#This Row],[Household goods and services]:[Health]])</f>
        <v>174.25</v>
      </c>
      <c r="J340" s="5">
        <f>AVERAGE(All_India_Index_Upto_April23__1___1[[#This Row],[Transport and communication]])</f>
        <v>165.5</v>
      </c>
      <c r="K340" s="5">
        <f>AVERAGE(All_India_Index_Upto_April23__1___1[[#This Row],[Recreation and amusement]])</f>
        <v>168</v>
      </c>
      <c r="L340" s="5">
        <f>AVERAGE(All_India_Index_Upto_April23__1___1[[#This Row],[Education]])</f>
        <v>172.6</v>
      </c>
      <c r="M340" s="5">
        <f>AVERAGE(All_India_Index_Upto_April23__1___1[[#This Row],[Personal care and effects]])</f>
        <v>169.5</v>
      </c>
      <c r="N340" s="5">
        <f>AVERAGE(All_India_Index_Upto_April23__1___1[[#This Row],[Miscellaneous]])</f>
        <v>171</v>
      </c>
      <c r="O340" s="5">
        <f>AVERAGE(All_India_Index_Upto_April23__1___1[[#This Row],[General index]])</f>
        <v>173.6</v>
      </c>
      <c r="P340" s="2">
        <f t="shared" si="65"/>
        <v>1572.3294871794872</v>
      </c>
      <c r="R340" s="10">
        <f t="shared" si="66"/>
        <v>10.999358293304807</v>
      </c>
      <c r="S340" s="10">
        <f t="shared" si="67"/>
        <v>12.268420936761313</v>
      </c>
      <c r="T340" s="10">
        <f t="shared" si="68"/>
        <v>11.443742218185166</v>
      </c>
      <c r="U340" s="10">
        <f t="shared" si="69"/>
        <v>11.238102537717594</v>
      </c>
      <c r="V340" s="10">
        <f t="shared" si="70"/>
        <v>11.082282779837527</v>
      </c>
      <c r="W340" s="10">
        <f t="shared" si="71"/>
        <v>10.525783644551566</v>
      </c>
      <c r="X340" s="10">
        <f t="shared" si="72"/>
        <v>10.684783397490413</v>
      </c>
      <c r="Y340" s="10">
        <f t="shared" si="73"/>
        <v>10.977342942897888</v>
      </c>
      <c r="Z340" s="10">
        <f t="shared" si="74"/>
        <v>10.780183249253721</v>
      </c>
    </row>
    <row r="341" spans="1:26" hidden="1" x14ac:dyDescent="0.3">
      <c r="A341" s="5" t="s">
        <v>32</v>
      </c>
      <c r="B341" s="5">
        <v>2022</v>
      </c>
      <c r="C341" s="5" t="s">
        <v>41</v>
      </c>
      <c r="D341" s="21">
        <f t="shared" si="64"/>
        <v>44713</v>
      </c>
      <c r="E341" s="4">
        <f>AVERAGE(All_India_Index_Upto_April23__1___1[[#This Row],[Cereals and products]:[Food and beverages]])</f>
        <v>175.96153846153845</v>
      </c>
      <c r="F341" s="5">
        <f>AVERAGE(All_India_Index_Upto_April23__1___1[[#This Row],[Pan, tobacco and intoxicants]])</f>
        <v>198.3</v>
      </c>
      <c r="G341" s="4">
        <f>AVERAGE(All_India_Index_Upto_April23__1___1[[#This Row],[Clothing]:[Clothing and footwear]])</f>
        <v>166.13333333333333</v>
      </c>
      <c r="H341" s="5">
        <f>AVERAGE(All_India_Index_Upto_April23__1___1[[#This Row],[Housing]:[Fuel and light]])</f>
        <v>174.9</v>
      </c>
      <c r="I341" s="5">
        <f>AVERAGE(All_India_Index_Upto_April23__1___1[[#This Row],[Household goods and services]:[Health]])</f>
        <v>166.5</v>
      </c>
      <c r="J341" s="5">
        <f>AVERAGE(All_India_Index_Upto_April23__1___1[[#This Row],[Transport and communication]])</f>
        <v>157.19999999999999</v>
      </c>
      <c r="K341" s="5">
        <f>AVERAGE(All_India_Index_Upto_April23__1___1[[#This Row],[Recreation and amusement]])</f>
        <v>164.1</v>
      </c>
      <c r="L341" s="5">
        <f>AVERAGE(All_India_Index_Upto_April23__1___1[[#This Row],[Education]])</f>
        <v>166.5</v>
      </c>
      <c r="M341" s="5">
        <f>AVERAGE(All_India_Index_Upto_April23__1___1[[#This Row],[Personal care and effects]])</f>
        <v>169.2</v>
      </c>
      <c r="N341" s="5">
        <f>AVERAGE(All_India_Index_Upto_April23__1___1[[#This Row],[Miscellaneous]])</f>
        <v>163.80000000000001</v>
      </c>
      <c r="O341" s="5">
        <f>AVERAGE(All_India_Index_Upto_April23__1___1[[#This Row],[General index]])</f>
        <v>171.4</v>
      </c>
      <c r="P341" s="2">
        <f t="shared" si="65"/>
        <v>1538.7948717948716</v>
      </c>
      <c r="R341" s="10">
        <f t="shared" si="66"/>
        <v>11.435022411810774</v>
      </c>
      <c r="S341" s="10">
        <f t="shared" si="67"/>
        <v>12.886707879959344</v>
      </c>
      <c r="T341" s="10">
        <f t="shared" si="68"/>
        <v>10.796327462383152</v>
      </c>
      <c r="U341" s="10">
        <f t="shared" si="69"/>
        <v>11.366037358572312</v>
      </c>
      <c r="V341" s="10">
        <f t="shared" si="70"/>
        <v>10.820155632946197</v>
      </c>
      <c r="W341" s="10">
        <f t="shared" si="71"/>
        <v>10.215786579574427</v>
      </c>
      <c r="X341" s="10">
        <f t="shared" si="72"/>
        <v>10.664189425624448</v>
      </c>
      <c r="Y341" s="10">
        <f t="shared" si="73"/>
        <v>10.820155632946197</v>
      </c>
      <c r="Z341" s="10">
        <f t="shared" si="74"/>
        <v>10.995617616183161</v>
      </c>
    </row>
    <row r="342" spans="1:26" x14ac:dyDescent="0.3">
      <c r="A342" s="6" t="s">
        <v>34</v>
      </c>
      <c r="B342" s="6">
        <v>2022</v>
      </c>
      <c r="C342" s="6" t="s">
        <v>41</v>
      </c>
      <c r="D342" s="21">
        <f t="shared" si="64"/>
        <v>44713</v>
      </c>
      <c r="E342" s="4">
        <f>AVERAGE(All_India_Index_Upto_April23__1___1[[#This Row],[Cereals and products]:[Food and beverages]])</f>
        <v>173.99230769230769</v>
      </c>
      <c r="F342" s="5">
        <f>AVERAGE(All_India_Index_Upto_April23__1___1[[#This Row],[Pan, tobacco and intoxicants]])</f>
        <v>194.3</v>
      </c>
      <c r="G342" s="4">
        <f>AVERAGE(All_India_Index_Upto_April23__1___1[[#This Row],[Clothing]:[Clothing and footwear]])</f>
        <v>174.33333333333334</v>
      </c>
      <c r="H342" s="5">
        <f>AVERAGE(All_India_Index_Upto_April23__1___1[[#This Row],[Housing]:[Fuel and light]])</f>
        <v>176</v>
      </c>
      <c r="I342" s="5">
        <f>AVERAGE(All_India_Index_Upto_April23__1___1[[#This Row],[Household goods and services]:[Health]])</f>
        <v>170.9</v>
      </c>
      <c r="J342" s="5">
        <f>AVERAGE(All_India_Index_Upto_April23__1___1[[#This Row],[Transport and communication]])</f>
        <v>161.1</v>
      </c>
      <c r="K342" s="5">
        <f>AVERAGE(All_India_Index_Upto_April23__1___1[[#This Row],[Recreation and amusement]])</f>
        <v>165.8</v>
      </c>
      <c r="L342" s="5">
        <f>AVERAGE(All_India_Index_Upto_April23__1___1[[#This Row],[Education]])</f>
        <v>169</v>
      </c>
      <c r="M342" s="5">
        <f>AVERAGE(All_India_Index_Upto_April23__1___1[[#This Row],[Personal care and effects]])</f>
        <v>169.4</v>
      </c>
      <c r="N342" s="5">
        <f>AVERAGE(All_India_Index_Upto_April23__1___1[[#This Row],[Miscellaneous]])</f>
        <v>167.5</v>
      </c>
      <c r="O342" s="5">
        <f>AVERAGE(All_India_Index_Upto_April23__1___1[[#This Row],[General index]])</f>
        <v>172.6</v>
      </c>
      <c r="P342" s="2">
        <f>AVERAGE(E342:N342)</f>
        <v>172.23256410256411</v>
      </c>
      <c r="R342" s="10">
        <f t="shared" si="66"/>
        <v>101.02172524627552</v>
      </c>
      <c r="S342" s="10">
        <f t="shared" si="67"/>
        <v>112.81258048524134</v>
      </c>
      <c r="T342" s="10">
        <f t="shared" si="68"/>
        <v>101.21972824460666</v>
      </c>
      <c r="U342" s="10">
        <f t="shared" si="69"/>
        <v>102.18741207103692</v>
      </c>
      <c r="V342" s="10">
        <f t="shared" si="70"/>
        <v>99.226299562160278</v>
      </c>
      <c r="W342" s="10">
        <f t="shared" si="71"/>
        <v>93.536318662750276</v>
      </c>
      <c r="X342" s="10">
        <f t="shared" si="72"/>
        <v>96.265187053283654</v>
      </c>
      <c r="Y342" s="10">
        <f t="shared" si="73"/>
        <v>98.123140000029778</v>
      </c>
      <c r="Z342" s="10">
        <f t="shared" si="74"/>
        <v>98.355384118373038</v>
      </c>
    </row>
    <row r="343" spans="1:26" hidden="1" x14ac:dyDescent="0.3">
      <c r="A343" s="5" t="s">
        <v>30</v>
      </c>
      <c r="B343" s="5">
        <v>2022</v>
      </c>
      <c r="C343" s="5" t="s">
        <v>43</v>
      </c>
      <c r="D343" s="21">
        <f t="shared" si="64"/>
        <v>44743</v>
      </c>
      <c r="E343" s="4">
        <f>AVERAGE(All_India_Index_Upto_April23__1___1[[#This Row],[Cereals and products]:[Food and beverages]])</f>
        <v>173.26923076923077</v>
      </c>
      <c r="F343" s="5">
        <f>AVERAGE(All_India_Index_Upto_April23__1___1[[#This Row],[Pan, tobacco and intoxicants]])</f>
        <v>193.2</v>
      </c>
      <c r="G343" s="4">
        <f>AVERAGE(All_India_Index_Upto_April23__1___1[[#This Row],[Clothing]:[Clothing and footwear]])</f>
        <v>181.33333333333334</v>
      </c>
      <c r="H343" s="5">
        <f>AVERAGE(All_India_Index_Upto_April23__1___1[[#This Row],[Housing]:[Fuel and light]])</f>
        <v>179.6</v>
      </c>
      <c r="I343" s="5">
        <f>AVERAGE(All_India_Index_Upto_April23__1___1[[#This Row],[Household goods and services]:[Health]])</f>
        <v>175.05</v>
      </c>
      <c r="J343" s="5">
        <f>AVERAGE(All_India_Index_Upto_April23__1___1[[#This Row],[Transport and communication]])</f>
        <v>166.3</v>
      </c>
      <c r="K343" s="5">
        <f>AVERAGE(All_India_Index_Upto_April23__1___1[[#This Row],[Recreation and amusement]])</f>
        <v>168.6</v>
      </c>
      <c r="L343" s="5">
        <f>AVERAGE(All_India_Index_Upto_April23__1___1[[#This Row],[Education]])</f>
        <v>174.7</v>
      </c>
      <c r="M343" s="5">
        <f>AVERAGE(All_India_Index_Upto_April23__1___1[[#This Row],[Personal care and effects]])</f>
        <v>169.7</v>
      </c>
      <c r="N343" s="5">
        <f>AVERAGE(All_India_Index_Upto_April23__1___1[[#This Row],[Miscellaneous]])</f>
        <v>171.8</v>
      </c>
      <c r="O343" s="5">
        <f>AVERAGE(All_India_Index_Upto_April23__1___1[[#This Row],[General index]])</f>
        <v>174.3</v>
      </c>
      <c r="P343" s="2">
        <f t="shared" si="65"/>
        <v>1581.7525641025641</v>
      </c>
      <c r="R343" s="10">
        <f t="shared" si="66"/>
        <v>10.954256354725002</v>
      </c>
      <c r="S343" s="10">
        <f t="shared" si="67"/>
        <v>12.21429978269803</v>
      </c>
      <c r="T343" s="10">
        <f t="shared" si="68"/>
        <v>11.46407709073107</v>
      </c>
      <c r="U343" s="10">
        <f t="shared" si="69"/>
        <v>11.354494000893199</v>
      </c>
      <c r="V343" s="10">
        <f t="shared" si="70"/>
        <v>11.06683839006879</v>
      </c>
      <c r="W343" s="10">
        <f t="shared" si="71"/>
        <v>10.513654523098772</v>
      </c>
      <c r="X343" s="10">
        <f t="shared" si="72"/>
        <v>10.659062853845175</v>
      </c>
      <c r="Y343" s="10">
        <f t="shared" si="73"/>
        <v>11.044711035389989</v>
      </c>
      <c r="Z343" s="10">
        <f t="shared" si="74"/>
        <v>10.728605968549978</v>
      </c>
    </row>
    <row r="344" spans="1:26" hidden="1" x14ac:dyDescent="0.3">
      <c r="A344" s="6" t="s">
        <v>32</v>
      </c>
      <c r="B344" s="6">
        <v>2022</v>
      </c>
      <c r="C344" s="6" t="s">
        <v>43</v>
      </c>
      <c r="D344" s="21">
        <f t="shared" si="64"/>
        <v>44743</v>
      </c>
      <c r="E344" s="4">
        <f>AVERAGE(All_India_Index_Upto_April23__1___1[[#This Row],[Cereals and products]:[Food and beverages]])</f>
        <v>176.27692307692308</v>
      </c>
      <c r="F344" s="5">
        <f>AVERAGE(All_India_Index_Upto_April23__1___1[[#This Row],[Pan, tobacco and intoxicants]])</f>
        <v>198.6</v>
      </c>
      <c r="G344" s="4">
        <f>AVERAGE(All_India_Index_Upto_April23__1___1[[#This Row],[Clothing]:[Clothing and footwear]])</f>
        <v>167.33333333333334</v>
      </c>
      <c r="H344" s="5">
        <f>AVERAGE(All_India_Index_Upto_April23__1___1[[#This Row],[Housing]:[Fuel and light]])</f>
        <v>179.5</v>
      </c>
      <c r="I344" s="5">
        <f>AVERAGE(All_India_Index_Upto_April23__1___1[[#This Row],[Household goods and services]:[Health]])</f>
        <v>167.39999999999998</v>
      </c>
      <c r="J344" s="5">
        <f>AVERAGE(All_India_Index_Upto_April23__1___1[[#This Row],[Transport and communication]])</f>
        <v>157.4</v>
      </c>
      <c r="K344" s="5">
        <f>AVERAGE(All_India_Index_Upto_April23__1___1[[#This Row],[Recreation and amusement]])</f>
        <v>164.6</v>
      </c>
      <c r="L344" s="5">
        <f>AVERAGE(All_India_Index_Upto_April23__1___1[[#This Row],[Education]])</f>
        <v>169.1</v>
      </c>
      <c r="M344" s="5">
        <f>AVERAGE(All_India_Index_Upto_April23__1___1[[#This Row],[Personal care and effects]])</f>
        <v>169.8</v>
      </c>
      <c r="N344" s="5">
        <f>AVERAGE(All_India_Index_Upto_April23__1___1[[#This Row],[Miscellaneous]])</f>
        <v>164.7</v>
      </c>
      <c r="O344" s="5">
        <f>AVERAGE(All_India_Index_Upto_April23__1___1[[#This Row],[General index]])</f>
        <v>172.3</v>
      </c>
      <c r="P344" s="2">
        <f t="shared" si="65"/>
        <v>1550.0102564102563</v>
      </c>
      <c r="R344" s="10">
        <f t="shared" si="66"/>
        <v>11.372629461508941</v>
      </c>
      <c r="S344" s="10">
        <f t="shared" si="67"/>
        <v>12.812818442888716</v>
      </c>
      <c r="T344" s="10">
        <f t="shared" si="68"/>
        <v>10.795627489644405</v>
      </c>
      <c r="U344" s="10">
        <f t="shared" si="69"/>
        <v>11.58056853221815</v>
      </c>
      <c r="V344" s="10">
        <f t="shared" si="70"/>
        <v>10.799928536453026</v>
      </c>
      <c r="W344" s="10">
        <f t="shared" si="71"/>
        <v>10.154771515159537</v>
      </c>
      <c r="X344" s="10">
        <f t="shared" si="72"/>
        <v>10.619284570490848</v>
      </c>
      <c r="Y344" s="10">
        <f t="shared" si="73"/>
        <v>10.90960523007292</v>
      </c>
      <c r="Z344" s="10">
        <f t="shared" si="74"/>
        <v>10.954766221563466</v>
      </c>
    </row>
    <row r="345" spans="1:26" x14ac:dyDescent="0.3">
      <c r="A345" s="5" t="s">
        <v>34</v>
      </c>
      <c r="B345" s="5">
        <v>2022</v>
      </c>
      <c r="C345" s="5" t="s">
        <v>43</v>
      </c>
      <c r="D345" s="21">
        <f t="shared" si="64"/>
        <v>44743</v>
      </c>
      <c r="E345" s="4">
        <f>AVERAGE(All_India_Index_Upto_April23__1___1[[#This Row],[Cereals and products]:[Food and beverages]])</f>
        <v>174.33076923076925</v>
      </c>
      <c r="F345" s="5">
        <f>AVERAGE(All_India_Index_Upto_April23__1___1[[#This Row],[Pan, tobacco and intoxicants]])</f>
        <v>194.6</v>
      </c>
      <c r="G345" s="4">
        <f>AVERAGE(All_India_Index_Upto_April23__1___1[[#This Row],[Clothing]:[Clothing and footwear]])</f>
        <v>175.63333333333335</v>
      </c>
      <c r="H345" s="5">
        <f>AVERAGE(All_India_Index_Upto_April23__1___1[[#This Row],[Housing]:[Fuel and light]])</f>
        <v>179.6</v>
      </c>
      <c r="I345" s="5">
        <f>AVERAGE(All_India_Index_Upto_April23__1___1[[#This Row],[Household goods and services]:[Health]])</f>
        <v>171.75</v>
      </c>
      <c r="J345" s="5">
        <f>AVERAGE(All_India_Index_Upto_April23__1___1[[#This Row],[Transport and communication]])</f>
        <v>161.6</v>
      </c>
      <c r="K345" s="5">
        <f>AVERAGE(All_India_Index_Upto_April23__1___1[[#This Row],[Recreation and amusement]])</f>
        <v>166.3</v>
      </c>
      <c r="L345" s="5">
        <f>AVERAGE(All_India_Index_Upto_April23__1___1[[#This Row],[Education]])</f>
        <v>171.4</v>
      </c>
      <c r="M345" s="5">
        <f>AVERAGE(All_India_Index_Upto_April23__1___1[[#This Row],[Personal care and effects]])</f>
        <v>169.7</v>
      </c>
      <c r="N345" s="5">
        <f>AVERAGE(All_India_Index_Upto_April23__1___1[[#This Row],[Miscellaneous]])</f>
        <v>168.4</v>
      </c>
      <c r="O345" s="5">
        <f>AVERAGE(All_India_Index_Upto_April23__1___1[[#This Row],[General index]])</f>
        <v>173.4</v>
      </c>
      <c r="P345" s="2">
        <f>AVERAGE(E345:N345)</f>
        <v>173.33141025641027</v>
      </c>
      <c r="R345" s="10">
        <f t="shared" si="66"/>
        <v>100.57655965117958</v>
      </c>
      <c r="S345" s="10">
        <f t="shared" si="67"/>
        <v>112.2704763736284</v>
      </c>
      <c r="T345" s="10">
        <f t="shared" si="68"/>
        <v>101.32804727863105</v>
      </c>
      <c r="U345" s="10">
        <f t="shared" si="69"/>
        <v>103.61653420711028</v>
      </c>
      <c r="V345" s="10">
        <f t="shared" si="70"/>
        <v>99.087637806632472</v>
      </c>
      <c r="W345" s="10">
        <f t="shared" si="71"/>
        <v>93.231803607288526</v>
      </c>
      <c r="X345" s="10">
        <f t="shared" si="72"/>
        <v>95.943372152797551</v>
      </c>
      <c r="Y345" s="10">
        <f t="shared" si="73"/>
        <v>98.88571248941372</v>
      </c>
      <c r="Z345" s="10">
        <f t="shared" si="74"/>
        <v>97.904932377208326</v>
      </c>
    </row>
    <row r="346" spans="1:26" hidden="1" x14ac:dyDescent="0.3">
      <c r="A346" s="6" t="s">
        <v>30</v>
      </c>
      <c r="B346" s="6">
        <v>2022</v>
      </c>
      <c r="C346" s="6" t="s">
        <v>45</v>
      </c>
      <c r="D346" s="21">
        <f t="shared" si="64"/>
        <v>44774</v>
      </c>
      <c r="E346" s="4">
        <f>AVERAGE(All_India_Index_Upto_April23__1___1[[#This Row],[Cereals and products]:[Food and beverages]])</f>
        <v>173.5230769230769</v>
      </c>
      <c r="F346" s="5">
        <f>AVERAGE(All_India_Index_Upto_April23__1___1[[#This Row],[Pan, tobacco and intoxicants]])</f>
        <v>193.7</v>
      </c>
      <c r="G346" s="4">
        <f>AVERAGE(All_India_Index_Upto_April23__1___1[[#This Row],[Clothing]:[Clothing and footwear]])</f>
        <v>182.63333333333333</v>
      </c>
      <c r="H346" s="5">
        <f>AVERAGE(All_India_Index_Upto_April23__1___1[[#This Row],[Housing]:[Fuel and light]])</f>
        <v>179.1</v>
      </c>
      <c r="I346" s="5">
        <f>AVERAGE(All_India_Index_Upto_April23__1___1[[#This Row],[Household goods and services]:[Health]])</f>
        <v>175.85000000000002</v>
      </c>
      <c r="J346" s="5">
        <f>AVERAGE(All_India_Index_Upto_April23__1___1[[#This Row],[Transport and communication]])</f>
        <v>166.6</v>
      </c>
      <c r="K346" s="5">
        <f>AVERAGE(All_India_Index_Upto_April23__1___1[[#This Row],[Recreation and amusement]])</f>
        <v>169.3</v>
      </c>
      <c r="L346" s="5">
        <f>AVERAGE(All_India_Index_Upto_April23__1___1[[#This Row],[Education]])</f>
        <v>175.7</v>
      </c>
      <c r="M346" s="5">
        <f>AVERAGE(All_India_Index_Upto_April23__1___1[[#This Row],[Personal care and effects]])</f>
        <v>171.1</v>
      </c>
      <c r="N346" s="5">
        <f>AVERAGE(All_India_Index_Upto_April23__1___1[[#This Row],[Miscellaneous]])</f>
        <v>172.6</v>
      </c>
      <c r="O346" s="5">
        <f>AVERAGE(All_India_Index_Upto_April23__1___1[[#This Row],[General index]])</f>
        <v>175.3</v>
      </c>
      <c r="P346" s="2">
        <f t="shared" si="65"/>
        <v>1587.5064102564102</v>
      </c>
      <c r="R346" s="10">
        <f t="shared" si="66"/>
        <v>10.930543385651582</v>
      </c>
      <c r="S346" s="10">
        <f t="shared" si="67"/>
        <v>12.201525533916682</v>
      </c>
      <c r="T346" s="10">
        <f t="shared" si="68"/>
        <v>11.50441548792454</v>
      </c>
      <c r="U346" s="10">
        <f t="shared" si="69"/>
        <v>11.281844208180059</v>
      </c>
      <c r="V346" s="10">
        <f t="shared" si="70"/>
        <v>11.077120625396224</v>
      </c>
      <c r="W346" s="10">
        <f t="shared" si="71"/>
        <v>10.494445812857609</v>
      </c>
      <c r="X346" s="10">
        <f t="shared" si="72"/>
        <v>10.664523866247261</v>
      </c>
      <c r="Y346" s="10">
        <f t="shared" si="73"/>
        <v>11.067671844652354</v>
      </c>
      <c r="Z346" s="10">
        <f t="shared" si="74"/>
        <v>10.777909235173693</v>
      </c>
    </row>
    <row r="347" spans="1:26" hidden="1" x14ac:dyDescent="0.3">
      <c r="A347" s="5" t="s">
        <v>32</v>
      </c>
      <c r="B347" s="5">
        <v>2022</v>
      </c>
      <c r="C347" s="5" t="s">
        <v>45</v>
      </c>
      <c r="D347" s="21">
        <f t="shared" si="64"/>
        <v>44774</v>
      </c>
      <c r="E347" s="4">
        <f>AVERAGE(All_India_Index_Upto_April23__1___1[[#This Row],[Cereals and products]:[Food and beverages]])</f>
        <v>176.43846153846152</v>
      </c>
      <c r="F347" s="5">
        <f>AVERAGE(All_India_Index_Upto_April23__1___1[[#This Row],[Pan, tobacco and intoxicants]])</f>
        <v>198.7</v>
      </c>
      <c r="G347" s="4">
        <f>AVERAGE(All_India_Index_Upto_April23__1___1[[#This Row],[Clothing]:[Clothing and footwear]])</f>
        <v>168.43333333333331</v>
      </c>
      <c r="H347" s="5">
        <f>AVERAGE(All_India_Index_Upto_April23__1___1[[#This Row],[Housing]:[Fuel and light]])</f>
        <v>178.4</v>
      </c>
      <c r="I347" s="5">
        <f>AVERAGE(All_India_Index_Upto_April23__1___1[[#This Row],[Household goods and services]:[Health]])</f>
        <v>168.39999999999998</v>
      </c>
      <c r="J347" s="5">
        <f>AVERAGE(All_India_Index_Upto_April23__1___1[[#This Row],[Transport and communication]])</f>
        <v>157.69999999999999</v>
      </c>
      <c r="K347" s="5">
        <f>AVERAGE(All_India_Index_Upto_April23__1___1[[#This Row],[Recreation and amusement]])</f>
        <v>165.1</v>
      </c>
      <c r="L347" s="5">
        <f>AVERAGE(All_India_Index_Upto_April23__1___1[[#This Row],[Education]])</f>
        <v>169.9</v>
      </c>
      <c r="M347" s="5">
        <f>AVERAGE(All_India_Index_Upto_April23__1___1[[#This Row],[Personal care and effects]])</f>
        <v>171.4</v>
      </c>
      <c r="N347" s="5">
        <f>AVERAGE(All_India_Index_Upto_April23__1___1[[#This Row],[Miscellaneous]])</f>
        <v>165.4</v>
      </c>
      <c r="O347" s="5">
        <f>AVERAGE(All_India_Index_Upto_April23__1___1[[#This Row],[General index]])</f>
        <v>173.1</v>
      </c>
      <c r="P347" s="2">
        <f t="shared" si="65"/>
        <v>1554.4717948717948</v>
      </c>
      <c r="R347" s="10">
        <f t="shared" si="66"/>
        <v>11.350380374898556</v>
      </c>
      <c r="S347" s="10">
        <f t="shared" si="67"/>
        <v>12.782477022453007</v>
      </c>
      <c r="T347" s="10">
        <f t="shared" si="68"/>
        <v>10.835406206082038</v>
      </c>
      <c r="U347" s="10">
        <f t="shared" si="69"/>
        <v>11.476567190768074</v>
      </c>
      <c r="V347" s="10">
        <f t="shared" si="70"/>
        <v>10.833261854962688</v>
      </c>
      <c r="W347" s="10">
        <f t="shared" si="71"/>
        <v>10.144925145650925</v>
      </c>
      <c r="X347" s="10">
        <f t="shared" si="72"/>
        <v>10.620971094146912</v>
      </c>
      <c r="Y347" s="10">
        <f t="shared" si="73"/>
        <v>10.929757655333496</v>
      </c>
      <c r="Z347" s="10">
        <f t="shared" si="74"/>
        <v>11.026253455704305</v>
      </c>
    </row>
    <row r="348" spans="1:26" x14ac:dyDescent="0.3">
      <c r="A348" s="6" t="s">
        <v>34</v>
      </c>
      <c r="B348" s="6">
        <v>2022</v>
      </c>
      <c r="C348" s="6" t="s">
        <v>45</v>
      </c>
      <c r="D348" s="21">
        <f t="shared" si="64"/>
        <v>44774</v>
      </c>
      <c r="E348" s="4">
        <f>AVERAGE(All_India_Index_Upto_April23__1___1[[#This Row],[Cereals and products]:[Food and beverages]])</f>
        <v>174.55384615384617</v>
      </c>
      <c r="F348" s="5">
        <f>AVERAGE(All_India_Index_Upto_April23__1___1[[#This Row],[Pan, tobacco and intoxicants]])</f>
        <v>195</v>
      </c>
      <c r="G348" s="4">
        <f>AVERAGE(All_India_Index_Upto_April23__1___1[[#This Row],[Clothing]:[Clothing and footwear]])</f>
        <v>176.9</v>
      </c>
      <c r="H348" s="5">
        <f>AVERAGE(All_India_Index_Upto_April23__1___1[[#This Row],[Housing]:[Fuel and light]])</f>
        <v>178.8</v>
      </c>
      <c r="I348" s="5">
        <f>AVERAGE(All_India_Index_Upto_April23__1___1[[#This Row],[Household goods and services]:[Health]])</f>
        <v>172.65</v>
      </c>
      <c r="J348" s="5">
        <f>AVERAGE(All_India_Index_Upto_April23__1___1[[#This Row],[Transport and communication]])</f>
        <v>161.9</v>
      </c>
      <c r="K348" s="5">
        <f>AVERAGE(All_India_Index_Upto_April23__1___1[[#This Row],[Recreation and amusement]])</f>
        <v>166.9</v>
      </c>
      <c r="L348" s="5">
        <f>AVERAGE(All_India_Index_Upto_April23__1___1[[#This Row],[Education]])</f>
        <v>172.3</v>
      </c>
      <c r="M348" s="5">
        <f>AVERAGE(All_India_Index_Upto_April23__1___1[[#This Row],[Personal care and effects]])</f>
        <v>171.2</v>
      </c>
      <c r="N348" s="5">
        <f>AVERAGE(All_India_Index_Upto_April23__1___1[[#This Row],[Miscellaneous]])</f>
        <v>169.1</v>
      </c>
      <c r="O348" s="5">
        <f>AVERAGE(All_India_Index_Upto_April23__1___1[[#This Row],[General index]])</f>
        <v>174.3</v>
      </c>
      <c r="P348" s="2">
        <f>AVERAGE(E348:N348)</f>
        <v>173.93038461538461</v>
      </c>
      <c r="R348" s="10">
        <f t="shared" si="66"/>
        <v>100.35845464255151</v>
      </c>
      <c r="S348" s="10">
        <f t="shared" si="67"/>
        <v>112.11382095842943</v>
      </c>
      <c r="T348" s="10">
        <f t="shared" si="68"/>
        <v>101.70735860280087</v>
      </c>
      <c r="U348" s="10">
        <f t="shared" si="69"/>
        <v>102.79974967880608</v>
      </c>
      <c r="V348" s="10">
        <f t="shared" si="70"/>
        <v>99.263852248578672</v>
      </c>
      <c r="W348" s="10">
        <f t="shared" si="71"/>
        <v>93.083218529075523</v>
      </c>
      <c r="X348" s="10">
        <f t="shared" si="72"/>
        <v>95.957931886983971</v>
      </c>
      <c r="Y348" s="10">
        <f t="shared" si="73"/>
        <v>99.062622313525097</v>
      </c>
      <c r="Z348" s="10">
        <f t="shared" si="74"/>
        <v>98.430185374785211</v>
      </c>
    </row>
    <row r="349" spans="1:26" hidden="1" x14ac:dyDescent="0.3">
      <c r="A349" s="5" t="s">
        <v>30</v>
      </c>
      <c r="B349" s="5">
        <v>2022</v>
      </c>
      <c r="C349" s="5" t="s">
        <v>47</v>
      </c>
      <c r="D349" s="21">
        <f t="shared" si="64"/>
        <v>44805</v>
      </c>
      <c r="E349" s="4">
        <f>AVERAGE(All_India_Index_Upto_April23__1___1[[#This Row],[Cereals and products]:[Food and beverages]])</f>
        <v>174.44615384615386</v>
      </c>
      <c r="F349" s="5">
        <f>AVERAGE(All_India_Index_Upto_April23__1___1[[#This Row],[Pan, tobacco and intoxicants]])</f>
        <v>194.5</v>
      </c>
      <c r="G349" s="4">
        <f>AVERAGE(All_India_Index_Upto_April23__1___1[[#This Row],[Clothing]:[Clothing and footwear]])</f>
        <v>184.16666666666666</v>
      </c>
      <c r="H349" s="5">
        <f>AVERAGE(All_India_Index_Upto_April23__1___1[[#This Row],[Housing]:[Fuel and light]])</f>
        <v>179.7</v>
      </c>
      <c r="I349" s="5">
        <f>AVERAGE(All_India_Index_Upto_April23__1___1[[#This Row],[Household goods and services]:[Health]])</f>
        <v>176.89999999999998</v>
      </c>
      <c r="J349" s="5">
        <f>AVERAGE(All_India_Index_Upto_April23__1___1[[#This Row],[Transport and communication]])</f>
        <v>166.9</v>
      </c>
      <c r="K349" s="5">
        <f>AVERAGE(All_India_Index_Upto_April23__1___1[[#This Row],[Recreation and amusement]])</f>
        <v>170</v>
      </c>
      <c r="L349" s="5">
        <f>AVERAGE(All_India_Index_Upto_April23__1___1[[#This Row],[Education]])</f>
        <v>176.2</v>
      </c>
      <c r="M349" s="5">
        <f>AVERAGE(All_India_Index_Upto_April23__1___1[[#This Row],[Personal care and effects]])</f>
        <v>170.8</v>
      </c>
      <c r="N349" s="5">
        <f>AVERAGE(All_India_Index_Upto_April23__1___1[[#This Row],[Miscellaneous]])</f>
        <v>173.1</v>
      </c>
      <c r="O349" s="5">
        <f>AVERAGE(All_India_Index_Upto_April23__1___1[[#This Row],[General index]])</f>
        <v>176.4</v>
      </c>
      <c r="P349" s="2">
        <f t="shared" si="65"/>
        <v>1593.6128205128205</v>
      </c>
      <c r="R349" s="10">
        <f t="shared" si="66"/>
        <v>10.946583235319201</v>
      </c>
      <c r="S349" s="10">
        <f t="shared" si="67"/>
        <v>12.204972092117734</v>
      </c>
      <c r="T349" s="10">
        <f t="shared" si="68"/>
        <v>11.556550267172318</v>
      </c>
      <c r="U349" s="10">
        <f t="shared" si="69"/>
        <v>11.276264704131396</v>
      </c>
      <c r="V349" s="10">
        <f t="shared" si="70"/>
        <v>11.100563306404251</v>
      </c>
      <c r="W349" s="10">
        <f t="shared" si="71"/>
        <v>10.473058314521593</v>
      </c>
      <c r="X349" s="10">
        <f t="shared" si="72"/>
        <v>10.667584862005217</v>
      </c>
      <c r="Y349" s="10">
        <f t="shared" si="73"/>
        <v>11.056637956972464</v>
      </c>
      <c r="Z349" s="10">
        <f t="shared" si="74"/>
        <v>10.71778526135583</v>
      </c>
    </row>
    <row r="350" spans="1:26" hidden="1" x14ac:dyDescent="0.3">
      <c r="A350" s="6" t="s">
        <v>32</v>
      </c>
      <c r="B350" s="6">
        <v>2022</v>
      </c>
      <c r="C350" s="6" t="s">
        <v>47</v>
      </c>
      <c r="D350" s="21">
        <f t="shared" si="64"/>
        <v>44805</v>
      </c>
      <c r="E350" s="4">
        <f>AVERAGE(All_India_Index_Upto_April23__1___1[[#This Row],[Cereals and products]:[Food and beverages]])</f>
        <v>177.41538461538462</v>
      </c>
      <c r="F350" s="5">
        <f>AVERAGE(All_India_Index_Upto_April23__1___1[[#This Row],[Pan, tobacco and intoxicants]])</f>
        <v>199.7</v>
      </c>
      <c r="G350" s="4">
        <f>AVERAGE(All_India_Index_Upto_April23__1___1[[#This Row],[Clothing]:[Clothing and footwear]])</f>
        <v>169.9</v>
      </c>
      <c r="H350" s="5">
        <f>AVERAGE(All_India_Index_Upto_April23__1___1[[#This Row],[Housing]:[Fuel and light]])</f>
        <v>179.2</v>
      </c>
      <c r="I350" s="5">
        <f>AVERAGE(All_India_Index_Upto_April23__1___1[[#This Row],[Household goods and services]:[Health]])</f>
        <v>169.4</v>
      </c>
      <c r="J350" s="5">
        <f>AVERAGE(All_India_Index_Upto_April23__1___1[[#This Row],[Transport and communication]])</f>
        <v>158.19999999999999</v>
      </c>
      <c r="K350" s="5">
        <f>AVERAGE(All_India_Index_Upto_April23__1___1[[#This Row],[Recreation and amusement]])</f>
        <v>165.8</v>
      </c>
      <c r="L350" s="5">
        <f>AVERAGE(All_India_Index_Upto_April23__1___1[[#This Row],[Education]])</f>
        <v>170.9</v>
      </c>
      <c r="M350" s="5">
        <f>AVERAGE(All_India_Index_Upto_April23__1___1[[#This Row],[Personal care and effects]])</f>
        <v>171.1</v>
      </c>
      <c r="N350" s="5">
        <f>AVERAGE(All_India_Index_Upto_April23__1___1[[#This Row],[Miscellaneous]])</f>
        <v>166.1</v>
      </c>
      <c r="O350" s="5">
        <f>AVERAGE(All_India_Index_Upto_April23__1___1[[#This Row],[General index]])</f>
        <v>174.1</v>
      </c>
      <c r="P350" s="2">
        <f t="shared" si="65"/>
        <v>1561.6153846153845</v>
      </c>
      <c r="R350" s="10">
        <f t="shared" si="66"/>
        <v>11.361016698684795</v>
      </c>
      <c r="S350" s="10">
        <f t="shared" si="67"/>
        <v>12.788039998029655</v>
      </c>
      <c r="T350" s="10">
        <f t="shared" si="68"/>
        <v>10.879759617752821</v>
      </c>
      <c r="U350" s="10">
        <f t="shared" si="69"/>
        <v>11.475296783409684</v>
      </c>
      <c r="V350" s="10">
        <f t="shared" si="70"/>
        <v>10.847741490566969</v>
      </c>
      <c r="W350" s="10">
        <f t="shared" si="71"/>
        <v>10.130535441603863</v>
      </c>
      <c r="X350" s="10">
        <f t="shared" si="72"/>
        <v>10.617210974828827</v>
      </c>
      <c r="Y350" s="10">
        <f t="shared" si="73"/>
        <v>10.943795872124527</v>
      </c>
      <c r="Z350" s="10">
        <f t="shared" si="74"/>
        <v>10.956603122998867</v>
      </c>
    </row>
    <row r="351" spans="1:26" x14ac:dyDescent="0.3">
      <c r="A351" s="5" t="s">
        <v>34</v>
      </c>
      <c r="B351" s="5">
        <v>2022</v>
      </c>
      <c r="C351" s="5" t="s">
        <v>47</v>
      </c>
      <c r="D351" s="21">
        <f t="shared" si="64"/>
        <v>44805</v>
      </c>
      <c r="E351" s="4">
        <f>AVERAGE(All_India_Index_Upto_April23__1___1[[#This Row],[Cereals and products]:[Food and beverages]])</f>
        <v>175.45384615384617</v>
      </c>
      <c r="F351" s="5">
        <f>AVERAGE(All_India_Index_Upto_April23__1___1[[#This Row],[Pan, tobacco and intoxicants]])</f>
        <v>195.9</v>
      </c>
      <c r="G351" s="4">
        <f>AVERAGE(All_India_Index_Upto_April23__1___1[[#This Row],[Clothing]:[Clothing and footwear]])</f>
        <v>178.36666666666667</v>
      </c>
      <c r="H351" s="5">
        <f>AVERAGE(All_India_Index_Upto_April23__1___1[[#This Row],[Housing]:[Fuel and light]])</f>
        <v>179.5</v>
      </c>
      <c r="I351" s="5">
        <f>AVERAGE(All_India_Index_Upto_April23__1___1[[#This Row],[Household goods and services]:[Health]])</f>
        <v>173.65</v>
      </c>
      <c r="J351" s="5">
        <f>AVERAGE(All_India_Index_Upto_April23__1___1[[#This Row],[Transport and communication]])</f>
        <v>162.30000000000001</v>
      </c>
      <c r="K351" s="5">
        <f>AVERAGE(All_India_Index_Upto_April23__1___1[[#This Row],[Recreation and amusement]])</f>
        <v>167.6</v>
      </c>
      <c r="L351" s="5">
        <f>AVERAGE(All_India_Index_Upto_April23__1___1[[#This Row],[Education]])</f>
        <v>173.1</v>
      </c>
      <c r="M351" s="5">
        <f>AVERAGE(All_India_Index_Upto_April23__1___1[[#This Row],[Personal care and effects]])</f>
        <v>170.9</v>
      </c>
      <c r="N351" s="5">
        <f>AVERAGE(All_India_Index_Upto_April23__1___1[[#This Row],[Miscellaneous]])</f>
        <v>169.7</v>
      </c>
      <c r="O351" s="5">
        <f>AVERAGE(All_India_Index_Upto_April23__1___1[[#This Row],[General index]])</f>
        <v>175.3</v>
      </c>
      <c r="P351" s="2">
        <f>AVERAGE(E351:N351)</f>
        <v>174.64705128205128</v>
      </c>
      <c r="R351" s="10">
        <f t="shared" si="66"/>
        <v>100.46195733960141</v>
      </c>
      <c r="S351" s="10">
        <f t="shared" si="67"/>
        <v>112.16908534208554</v>
      </c>
      <c r="T351" s="10">
        <f t="shared" si="68"/>
        <v>102.12978997200948</v>
      </c>
      <c r="U351" s="10">
        <f t="shared" si="69"/>
        <v>102.77871780961895</v>
      </c>
      <c r="V351" s="10">
        <f t="shared" si="70"/>
        <v>99.429105000781803</v>
      </c>
      <c r="W351" s="10">
        <f t="shared" si="71"/>
        <v>92.930283568251582</v>
      </c>
      <c r="X351" s="10">
        <f t="shared" si="72"/>
        <v>95.964975514719427</v>
      </c>
      <c r="Y351" s="10">
        <f t="shared" si="73"/>
        <v>99.114184138412483</v>
      </c>
      <c r="Z351" s="10">
        <f t="shared" si="74"/>
        <v>97.854500688935275</v>
      </c>
    </row>
    <row r="352" spans="1:26" hidden="1" x14ac:dyDescent="0.3">
      <c r="A352" s="6" t="s">
        <v>30</v>
      </c>
      <c r="B352" s="6">
        <v>2022</v>
      </c>
      <c r="C352" s="6" t="s">
        <v>49</v>
      </c>
      <c r="D352" s="21">
        <f t="shared" si="64"/>
        <v>44835</v>
      </c>
      <c r="E352" s="4">
        <f>AVERAGE(All_India_Index_Upto_April23__1___1[[#This Row],[Cereals and products]:[Food and beverages]])</f>
        <v>175.73076923076923</v>
      </c>
      <c r="F352" s="5">
        <f>AVERAGE(All_India_Index_Upto_April23__1___1[[#This Row],[Pan, tobacco and intoxicants]])</f>
        <v>194.9</v>
      </c>
      <c r="G352" s="4">
        <f>AVERAGE(All_India_Index_Upto_April23__1___1[[#This Row],[Clothing]:[Clothing and footwear]])</f>
        <v>185.46666666666667</v>
      </c>
      <c r="H352" s="5">
        <f>AVERAGE(All_India_Index_Upto_April23__1___1[[#This Row],[Housing]:[Fuel and light]])</f>
        <v>180.8</v>
      </c>
      <c r="I352" s="5">
        <f>AVERAGE(All_India_Index_Upto_April23__1___1[[#This Row],[Household goods and services]:[Health]])</f>
        <v>177.8</v>
      </c>
      <c r="J352" s="5">
        <f>AVERAGE(All_India_Index_Upto_April23__1___1[[#This Row],[Transport and communication]])</f>
        <v>167.4</v>
      </c>
      <c r="K352" s="5">
        <f>AVERAGE(All_India_Index_Upto_April23__1___1[[#This Row],[Recreation and amusement]])</f>
        <v>170.6</v>
      </c>
      <c r="L352" s="5">
        <f>AVERAGE(All_India_Index_Upto_April23__1___1[[#This Row],[Education]])</f>
        <v>176.5</v>
      </c>
      <c r="M352" s="5">
        <f>AVERAGE(All_India_Index_Upto_April23__1___1[[#This Row],[Personal care and effects]])</f>
        <v>172</v>
      </c>
      <c r="N352" s="5">
        <f>AVERAGE(All_India_Index_Upto_April23__1___1[[#This Row],[Miscellaneous]])</f>
        <v>173.9</v>
      </c>
      <c r="O352" s="5">
        <f>AVERAGE(All_India_Index_Upto_April23__1___1[[#This Row],[General index]])</f>
        <v>177.9</v>
      </c>
      <c r="P352" s="2">
        <f t="shared" si="65"/>
        <v>1601.197435897436</v>
      </c>
      <c r="R352" s="10">
        <f t="shared" si="66"/>
        <v>10.974959445415049</v>
      </c>
      <c r="S352" s="10">
        <f t="shared" si="67"/>
        <v>12.172140401334259</v>
      </c>
      <c r="T352" s="10">
        <f t="shared" si="68"/>
        <v>11.582997980677922</v>
      </c>
      <c r="U352" s="10">
        <f t="shared" si="69"/>
        <v>11.291549433356767</v>
      </c>
      <c r="V352" s="10">
        <f t="shared" si="70"/>
        <v>11.104189652936023</v>
      </c>
      <c r="W352" s="10">
        <f t="shared" si="71"/>
        <v>10.454675747477449</v>
      </c>
      <c r="X352" s="10">
        <f t="shared" si="72"/>
        <v>10.654526179926242</v>
      </c>
      <c r="Y352" s="10">
        <f t="shared" si="73"/>
        <v>11.023000414753701</v>
      </c>
      <c r="Z352" s="10">
        <f t="shared" si="74"/>
        <v>10.741960744122588</v>
      </c>
    </row>
    <row r="353" spans="1:26" hidden="1" x14ac:dyDescent="0.3">
      <c r="A353" s="5" t="s">
        <v>32</v>
      </c>
      <c r="B353" s="5">
        <v>2022</v>
      </c>
      <c r="C353" s="5" t="s">
        <v>49</v>
      </c>
      <c r="D353" s="21">
        <f t="shared" si="64"/>
        <v>44835</v>
      </c>
      <c r="E353" s="4">
        <f>AVERAGE(All_India_Index_Upto_April23__1___1[[#This Row],[Cereals and products]:[Food and beverages]])</f>
        <v>178.63846153846154</v>
      </c>
      <c r="F353" s="5">
        <f>AVERAGE(All_India_Index_Upto_April23__1___1[[#This Row],[Pan, tobacco and intoxicants]])</f>
        <v>200.1</v>
      </c>
      <c r="G353" s="4">
        <f>AVERAGE(All_India_Index_Upto_April23__1___1[[#This Row],[Clothing]:[Clothing and footwear]])</f>
        <v>170.56666666666669</v>
      </c>
      <c r="H353" s="5">
        <f>AVERAGE(All_India_Index_Upto_April23__1___1[[#This Row],[Housing]:[Fuel and light]])</f>
        <v>180</v>
      </c>
      <c r="I353" s="5">
        <f>AVERAGE(All_India_Index_Upto_April23__1___1[[#This Row],[Household goods and services]:[Health]])</f>
        <v>170.35</v>
      </c>
      <c r="J353" s="5">
        <f>AVERAGE(All_India_Index_Upto_April23__1___1[[#This Row],[Transport and communication]])</f>
        <v>158.80000000000001</v>
      </c>
      <c r="K353" s="5">
        <f>AVERAGE(All_India_Index_Upto_April23__1___1[[#This Row],[Recreation and amusement]])</f>
        <v>166.3</v>
      </c>
      <c r="L353" s="5">
        <f>AVERAGE(All_India_Index_Upto_April23__1___1[[#This Row],[Education]])</f>
        <v>171.2</v>
      </c>
      <c r="M353" s="5">
        <f>AVERAGE(All_India_Index_Upto_April23__1___1[[#This Row],[Personal care and effects]])</f>
        <v>172.3</v>
      </c>
      <c r="N353" s="5">
        <f>AVERAGE(All_India_Index_Upto_April23__1___1[[#This Row],[Miscellaneous]])</f>
        <v>166.8</v>
      </c>
      <c r="O353" s="5">
        <f>AVERAGE(All_India_Index_Upto_April23__1___1[[#This Row],[General index]])</f>
        <v>175.3</v>
      </c>
      <c r="P353" s="2">
        <f t="shared" si="65"/>
        <v>1568.2551282051281</v>
      </c>
      <c r="R353" s="10">
        <f t="shared" si="66"/>
        <v>11.390905620242652</v>
      </c>
      <c r="S353" s="10">
        <f t="shared" si="67"/>
        <v>12.759403518036949</v>
      </c>
      <c r="T353" s="10">
        <f t="shared" si="68"/>
        <v>10.87620653036733</v>
      </c>
      <c r="U353" s="10">
        <f t="shared" si="69"/>
        <v>11.477724304081214</v>
      </c>
      <c r="V353" s="10">
        <f t="shared" si="70"/>
        <v>10.862390751112416</v>
      </c>
      <c r="W353" s="10">
        <f t="shared" si="71"/>
        <v>10.12590344160054</v>
      </c>
      <c r="X353" s="10">
        <f t="shared" si="72"/>
        <v>10.60414195427059</v>
      </c>
      <c r="Y353" s="10">
        <f t="shared" si="73"/>
        <v>10.916591115881689</v>
      </c>
      <c r="Z353" s="10">
        <f t="shared" si="74"/>
        <v>10.98673276440663</v>
      </c>
    </row>
    <row r="354" spans="1:26" x14ac:dyDescent="0.3">
      <c r="A354" s="6" t="s">
        <v>34</v>
      </c>
      <c r="B354" s="6">
        <v>2022</v>
      </c>
      <c r="C354" s="6" t="s">
        <v>49</v>
      </c>
      <c r="D354" s="21">
        <f t="shared" si="64"/>
        <v>44835</v>
      </c>
      <c r="E354" s="4">
        <f>AVERAGE(All_India_Index_Upto_April23__1___1[[#This Row],[Cereals and products]:[Food and beverages]])</f>
        <v>176.71538461538464</v>
      </c>
      <c r="F354" s="5">
        <f>AVERAGE(All_India_Index_Upto_April23__1___1[[#This Row],[Pan, tobacco and intoxicants]])</f>
        <v>196.3</v>
      </c>
      <c r="G354" s="4">
        <f>AVERAGE(All_India_Index_Upto_April23__1___1[[#This Row],[Clothing]:[Clothing and footwear]])</f>
        <v>179.4</v>
      </c>
      <c r="H354" s="5">
        <f>AVERAGE(All_India_Index_Upto_April23__1___1[[#This Row],[Housing]:[Fuel and light]])</f>
        <v>180.5</v>
      </c>
      <c r="I354" s="5">
        <f>AVERAGE(All_India_Index_Upto_April23__1___1[[#This Row],[Household goods and services]:[Health]])</f>
        <v>174.55</v>
      </c>
      <c r="J354" s="5">
        <f>AVERAGE(All_India_Index_Upto_April23__1___1[[#This Row],[Transport and communication]])</f>
        <v>162.9</v>
      </c>
      <c r="K354" s="5">
        <f>AVERAGE(All_India_Index_Upto_April23__1___1[[#This Row],[Recreation and amusement]])</f>
        <v>168.2</v>
      </c>
      <c r="L354" s="5">
        <f>AVERAGE(All_India_Index_Upto_April23__1___1[[#This Row],[Education]])</f>
        <v>173.4</v>
      </c>
      <c r="M354" s="5">
        <f>AVERAGE(All_India_Index_Upto_April23__1___1[[#This Row],[Personal care and effects]])</f>
        <v>172.1</v>
      </c>
      <c r="N354" s="5">
        <f>AVERAGE(All_India_Index_Upto_April23__1___1[[#This Row],[Miscellaneous]])</f>
        <v>170.5</v>
      </c>
      <c r="O354" s="5">
        <f>AVERAGE(All_India_Index_Upto_April23__1___1[[#This Row],[General index]])</f>
        <v>176.7</v>
      </c>
      <c r="P354" s="2">
        <f>AVERAGE(E354:N354)</f>
        <v>175.45653846153849</v>
      </c>
      <c r="R354" s="10">
        <f t="shared" si="66"/>
        <v>100.71746893269646</v>
      </c>
      <c r="S354" s="10">
        <f t="shared" si="67"/>
        <v>111.87955816364779</v>
      </c>
      <c r="T354" s="10">
        <f t="shared" si="68"/>
        <v>102.24754322240659</v>
      </c>
      <c r="U354" s="10">
        <f t="shared" si="69"/>
        <v>102.87447910615602</v>
      </c>
      <c r="V354" s="10">
        <f t="shared" si="70"/>
        <v>99.483325916784111</v>
      </c>
      <c r="W354" s="10">
        <f t="shared" si="71"/>
        <v>92.843504966165185</v>
      </c>
      <c r="X354" s="10">
        <f t="shared" si="72"/>
        <v>95.864196042412402</v>
      </c>
      <c r="Y354" s="10">
        <f t="shared" si="73"/>
        <v>98.827892947409708</v>
      </c>
      <c r="Z354" s="10">
        <f t="shared" si="74"/>
        <v>98.086968721160389</v>
      </c>
    </row>
    <row r="355" spans="1:26" hidden="1" x14ac:dyDescent="0.3">
      <c r="A355" s="5" t="s">
        <v>30</v>
      </c>
      <c r="B355" s="5">
        <v>2022</v>
      </c>
      <c r="C355" s="5" t="s">
        <v>52</v>
      </c>
      <c r="D355" s="21">
        <f t="shared" si="64"/>
        <v>44866</v>
      </c>
      <c r="E355" s="4">
        <f>AVERAGE(All_India_Index_Upto_April23__1___1[[#This Row],[Cereals and products]:[Food and beverages]])</f>
        <v>175.97692307692307</v>
      </c>
      <c r="F355" s="5">
        <f>AVERAGE(All_India_Index_Upto_April23__1___1[[#This Row],[Pan, tobacco and intoxicants]])</f>
        <v>195.5</v>
      </c>
      <c r="G355" s="4">
        <f>AVERAGE(All_India_Index_Upto_April23__1___1[[#This Row],[Clothing]:[Clothing and footwear]])</f>
        <v>186.43333333333331</v>
      </c>
      <c r="H355" s="5">
        <f>AVERAGE(All_India_Index_Upto_April23__1___1[[#This Row],[Housing]:[Fuel and light]])</f>
        <v>181.9</v>
      </c>
      <c r="I355" s="5">
        <f>AVERAGE(All_India_Index_Upto_April23__1___1[[#This Row],[Household goods and services]:[Health]])</f>
        <v>178.9</v>
      </c>
      <c r="J355" s="5">
        <f>AVERAGE(All_India_Index_Upto_April23__1___1[[#This Row],[Transport and communication]])</f>
        <v>167.5</v>
      </c>
      <c r="K355" s="5">
        <f>AVERAGE(All_India_Index_Upto_April23__1___1[[#This Row],[Recreation and amusement]])</f>
        <v>170.8</v>
      </c>
      <c r="L355" s="5">
        <f>AVERAGE(All_India_Index_Upto_April23__1___1[[#This Row],[Education]])</f>
        <v>176.9</v>
      </c>
      <c r="M355" s="5">
        <f>AVERAGE(All_India_Index_Upto_April23__1___1[[#This Row],[Personal care and effects]])</f>
        <v>173.4</v>
      </c>
      <c r="N355" s="5">
        <f>AVERAGE(All_India_Index_Upto_April23__1___1[[#This Row],[Miscellaneous]])</f>
        <v>174.6</v>
      </c>
      <c r="O355" s="5">
        <f>AVERAGE(All_India_Index_Upto_April23__1___1[[#This Row],[General index]])</f>
        <v>177.8</v>
      </c>
      <c r="P355" s="2">
        <f t="shared" si="65"/>
        <v>1607.3102564102564</v>
      </c>
      <c r="R355" s="10">
        <f t="shared" si="66"/>
        <v>10.948534819279223</v>
      </c>
      <c r="S355" s="10">
        <f t="shared" si="67"/>
        <v>12.163177533417031</v>
      </c>
      <c r="T355" s="10">
        <f t="shared" si="68"/>
        <v>11.599088140562907</v>
      </c>
      <c r="U355" s="10">
        <f t="shared" si="69"/>
        <v>11.317043444135848</v>
      </c>
      <c r="V355" s="10">
        <f t="shared" si="70"/>
        <v>11.130396218559117</v>
      </c>
      <c r="W355" s="10">
        <f t="shared" si="71"/>
        <v>10.421136761367533</v>
      </c>
      <c r="X355" s="10">
        <f t="shared" si="72"/>
        <v>10.62644870950194</v>
      </c>
      <c r="Y355" s="10">
        <f t="shared" si="73"/>
        <v>11.005964734841294</v>
      </c>
      <c r="Z355" s="10">
        <f t="shared" si="74"/>
        <v>10.788209638335108</v>
      </c>
    </row>
    <row r="356" spans="1:26" hidden="1" x14ac:dyDescent="0.3">
      <c r="A356" s="6" t="s">
        <v>32</v>
      </c>
      <c r="B356" s="6">
        <v>2022</v>
      </c>
      <c r="C356" s="6" t="s">
        <v>52</v>
      </c>
      <c r="D356" s="21">
        <f t="shared" si="64"/>
        <v>44866</v>
      </c>
      <c r="E356" s="4">
        <f>AVERAGE(All_India_Index_Upto_April23__1___1[[#This Row],[Cereals and products]:[Food and beverages]])</f>
        <v>178.03076923076924</v>
      </c>
      <c r="F356" s="5">
        <f>AVERAGE(All_India_Index_Upto_April23__1___1[[#This Row],[Pan, tobacco and intoxicants]])</f>
        <v>200.6</v>
      </c>
      <c r="G356" s="4">
        <f>AVERAGE(All_India_Index_Upto_April23__1___1[[#This Row],[Clothing]:[Clothing and footwear]])</f>
        <v>171.63333333333333</v>
      </c>
      <c r="H356" s="5">
        <f>AVERAGE(All_India_Index_Upto_April23__1___1[[#This Row],[Housing]:[Fuel and light]])</f>
        <v>180.3</v>
      </c>
      <c r="I356" s="5">
        <f>AVERAGE(All_India_Index_Upto_April23__1___1[[#This Row],[Household goods and services]:[Health]])</f>
        <v>171.35000000000002</v>
      </c>
      <c r="J356" s="5">
        <f>AVERAGE(All_India_Index_Upto_April23__1___1[[#This Row],[Transport and communication]])</f>
        <v>158.9</v>
      </c>
      <c r="K356" s="5">
        <f>AVERAGE(All_India_Index_Upto_April23__1___1[[#This Row],[Recreation and amusement]])</f>
        <v>166.7</v>
      </c>
      <c r="L356" s="5">
        <f>AVERAGE(All_India_Index_Upto_April23__1___1[[#This Row],[Education]])</f>
        <v>171.5</v>
      </c>
      <c r="M356" s="5">
        <f>AVERAGE(All_India_Index_Upto_April23__1___1[[#This Row],[Personal care and effects]])</f>
        <v>173.8</v>
      </c>
      <c r="N356" s="5">
        <f>AVERAGE(All_India_Index_Upto_April23__1___1[[#This Row],[Miscellaneous]])</f>
        <v>167.4</v>
      </c>
      <c r="O356" s="5">
        <f>AVERAGE(All_India_Index_Upto_April23__1___1[[#This Row],[General index]])</f>
        <v>174.1</v>
      </c>
      <c r="P356" s="2">
        <f t="shared" si="65"/>
        <v>1572.8141025641025</v>
      </c>
      <c r="R356" s="10">
        <f t="shared" si="66"/>
        <v>11.319250567535734</v>
      </c>
      <c r="S356" s="10">
        <f t="shared" si="67"/>
        <v>12.754209138446113</v>
      </c>
      <c r="T356" s="10">
        <f t="shared" si="68"/>
        <v>10.9124996433797</v>
      </c>
      <c r="U356" s="10">
        <f t="shared" si="69"/>
        <v>11.463528951454808</v>
      </c>
      <c r="V356" s="10">
        <f t="shared" si="70"/>
        <v>10.894485223692632</v>
      </c>
      <c r="W356" s="10">
        <f t="shared" si="71"/>
        <v>10.102910429207816</v>
      </c>
      <c r="X356" s="10">
        <f t="shared" si="72"/>
        <v>10.598836806475409</v>
      </c>
      <c r="Y356" s="10">
        <f t="shared" si="73"/>
        <v>10.904022269409316</v>
      </c>
      <c r="Z356" s="10">
        <f t="shared" si="74"/>
        <v>11.050256970398479</v>
      </c>
    </row>
    <row r="357" spans="1:26" x14ac:dyDescent="0.3">
      <c r="A357" s="5" t="s">
        <v>34</v>
      </c>
      <c r="B357" s="5">
        <v>2022</v>
      </c>
      <c r="C357" s="5" t="s">
        <v>52</v>
      </c>
      <c r="D357" s="21">
        <f t="shared" si="64"/>
        <v>44866</v>
      </c>
      <c r="E357" s="4">
        <f>AVERAGE(All_India_Index_Upto_April23__1___1[[#This Row],[Cereals and products]:[Food and beverages]])</f>
        <v>176.67692307692309</v>
      </c>
      <c r="F357" s="5">
        <f>AVERAGE(All_India_Index_Upto_April23__1___1[[#This Row],[Pan, tobacco and intoxicants]])</f>
        <v>196.9</v>
      </c>
      <c r="G357" s="4">
        <f>AVERAGE(All_India_Index_Upto_April23__1___1[[#This Row],[Clothing]:[Clothing and footwear]])</f>
        <v>180.46666666666667</v>
      </c>
      <c r="H357" s="5">
        <f>AVERAGE(All_India_Index_Upto_April23__1___1[[#This Row],[Housing]:[Fuel and light]])</f>
        <v>181.3</v>
      </c>
      <c r="I357" s="5">
        <f>AVERAGE(All_India_Index_Upto_April23__1___1[[#This Row],[Household goods and services]:[Health]])</f>
        <v>175.60000000000002</v>
      </c>
      <c r="J357" s="5">
        <f>AVERAGE(All_India_Index_Upto_April23__1___1[[#This Row],[Transport and communication]])</f>
        <v>163</v>
      </c>
      <c r="K357" s="5">
        <f>AVERAGE(All_India_Index_Upto_April23__1___1[[#This Row],[Recreation and amusement]])</f>
        <v>168.5</v>
      </c>
      <c r="L357" s="5">
        <f>AVERAGE(All_India_Index_Upto_April23__1___1[[#This Row],[Education]])</f>
        <v>173.7</v>
      </c>
      <c r="M357" s="5">
        <f>AVERAGE(All_India_Index_Upto_April23__1___1[[#This Row],[Personal care and effects]])</f>
        <v>173.6</v>
      </c>
      <c r="N357" s="5">
        <f>AVERAGE(All_India_Index_Upto_April23__1___1[[#This Row],[Miscellaneous]])</f>
        <v>171.1</v>
      </c>
      <c r="O357" s="5">
        <f>AVERAGE(All_India_Index_Upto_April23__1___1[[#This Row],[General index]])</f>
        <v>176.5</v>
      </c>
      <c r="P357" s="2">
        <f>AVERAGE(E357:N357)</f>
        <v>176.08435897435896</v>
      </c>
      <c r="R357" s="10">
        <f t="shared" si="66"/>
        <v>100.33652284962483</v>
      </c>
      <c r="S357" s="10">
        <f t="shared" si="67"/>
        <v>111.8214026202476</v>
      </c>
      <c r="T357" s="10">
        <f t="shared" si="68"/>
        <v>102.4887546615914</v>
      </c>
      <c r="U357" s="10">
        <f t="shared" si="69"/>
        <v>102.96201267166525</v>
      </c>
      <c r="V357" s="10">
        <f t="shared" si="70"/>
        <v>99.72492788276017</v>
      </c>
      <c r="W357" s="10">
        <f t="shared" si="71"/>
        <v>92.569266770443662</v>
      </c>
      <c r="X357" s="10">
        <f t="shared" si="72"/>
        <v>95.692769636931018</v>
      </c>
      <c r="Y357" s="10">
        <f t="shared" si="73"/>
        <v>98.645899619791805</v>
      </c>
      <c r="Z357" s="10">
        <f t="shared" si="74"/>
        <v>98.58910865858293</v>
      </c>
    </row>
    <row r="358" spans="1:26" hidden="1" x14ac:dyDescent="0.3">
      <c r="A358" s="6" t="s">
        <v>30</v>
      </c>
      <c r="B358" s="6">
        <v>2022</v>
      </c>
      <c r="C358" s="6" t="s">
        <v>54</v>
      </c>
      <c r="D358" s="21">
        <f t="shared" si="64"/>
        <v>44896</v>
      </c>
      <c r="E358" s="4">
        <f>AVERAGE(All_India_Index_Upto_April23__1___1[[#This Row],[Cereals and products]:[Food and beverages]])</f>
        <v>175.16153846153844</v>
      </c>
      <c r="F358" s="5">
        <f>AVERAGE(All_India_Index_Upto_April23__1___1[[#This Row],[Pan, tobacco and intoxicants]])</f>
        <v>195.9</v>
      </c>
      <c r="G358" s="4">
        <f>AVERAGE(All_India_Index_Upto_April23__1___1[[#This Row],[Clothing]:[Clothing and footwear]])</f>
        <v>187.26666666666665</v>
      </c>
      <c r="H358" s="5">
        <f>AVERAGE(All_India_Index_Upto_April23__1___1[[#This Row],[Housing]:[Fuel and light]])</f>
        <v>182.8</v>
      </c>
      <c r="I358" s="5">
        <f>AVERAGE(All_India_Index_Upto_April23__1___1[[#This Row],[Household goods and services]:[Health]])</f>
        <v>179.95</v>
      </c>
      <c r="J358" s="5">
        <f>AVERAGE(All_India_Index_Upto_April23__1___1[[#This Row],[Transport and communication]])</f>
        <v>167.8</v>
      </c>
      <c r="K358" s="5">
        <f>AVERAGE(All_India_Index_Upto_April23__1___1[[#This Row],[Recreation and amusement]])</f>
        <v>171.2</v>
      </c>
      <c r="L358" s="5">
        <f>AVERAGE(All_India_Index_Upto_April23__1___1[[#This Row],[Education]])</f>
        <v>177.3</v>
      </c>
      <c r="M358" s="5">
        <f>AVERAGE(All_India_Index_Upto_April23__1___1[[#This Row],[Personal care and effects]])</f>
        <v>175.7</v>
      </c>
      <c r="N358" s="5">
        <f>AVERAGE(All_India_Index_Upto_April23__1___1[[#This Row],[Miscellaneous]])</f>
        <v>175.5</v>
      </c>
      <c r="O358" s="5">
        <f>AVERAGE(All_India_Index_Upto_April23__1___1[[#This Row],[General index]])</f>
        <v>177.1</v>
      </c>
      <c r="P358" s="2">
        <f t="shared" si="65"/>
        <v>1613.0782051282051</v>
      </c>
      <c r="R358" s="10">
        <f t="shared" si="66"/>
        <v>10.858837339979859</v>
      </c>
      <c r="S358" s="10">
        <f t="shared" si="67"/>
        <v>12.144482479349485</v>
      </c>
      <c r="T358" s="10">
        <f t="shared" si="68"/>
        <v>11.609273875954635</v>
      </c>
      <c r="U358" s="10">
        <f t="shared" si="69"/>
        <v>11.332370583078539</v>
      </c>
      <c r="V358" s="10">
        <f t="shared" si="70"/>
        <v>11.155689750683713</v>
      </c>
      <c r="W358" s="10">
        <f t="shared" si="71"/>
        <v>10.402471465211043</v>
      </c>
      <c r="X358" s="10">
        <f t="shared" si="72"/>
        <v>10.613248598594341</v>
      </c>
      <c r="Y358" s="10">
        <f t="shared" si="73"/>
        <v>10.991407573193792</v>
      </c>
      <c r="Z358" s="10">
        <f t="shared" si="74"/>
        <v>10.89221833395459</v>
      </c>
    </row>
    <row r="359" spans="1:26" hidden="1" x14ac:dyDescent="0.3">
      <c r="A359" s="5" t="s">
        <v>32</v>
      </c>
      <c r="B359" s="5">
        <v>2022</v>
      </c>
      <c r="C359" s="5" t="s">
        <v>54</v>
      </c>
      <c r="D359" s="21">
        <f t="shared" si="64"/>
        <v>44896</v>
      </c>
      <c r="E359" s="4">
        <f>AVERAGE(All_India_Index_Upto_April23__1___1[[#This Row],[Cereals and products]:[Food and beverages]])</f>
        <v>176.59999999999997</v>
      </c>
      <c r="F359" s="5">
        <f>AVERAGE(All_India_Index_Upto_April23__1___1[[#This Row],[Pan, tobacco and intoxicants]])</f>
        <v>201.1</v>
      </c>
      <c r="G359" s="4">
        <f>AVERAGE(All_India_Index_Upto_April23__1___1[[#This Row],[Clothing]:[Clothing and footwear]])</f>
        <v>172.63333333333333</v>
      </c>
      <c r="H359" s="5">
        <f>AVERAGE(All_India_Index_Upto_April23__1___1[[#This Row],[Housing]:[Fuel and light]])</f>
        <v>180.6</v>
      </c>
      <c r="I359" s="5">
        <f>AVERAGE(All_India_Index_Upto_April23__1___1[[#This Row],[Household goods and services]:[Health]])</f>
        <v>172.25</v>
      </c>
      <c r="J359" s="5">
        <f>AVERAGE(All_India_Index_Upto_April23__1___1[[#This Row],[Transport and communication]])</f>
        <v>159.4</v>
      </c>
      <c r="K359" s="5">
        <f>AVERAGE(All_India_Index_Upto_April23__1___1[[#This Row],[Recreation and amusement]])</f>
        <v>167.1</v>
      </c>
      <c r="L359" s="5">
        <f>AVERAGE(All_India_Index_Upto_April23__1___1[[#This Row],[Education]])</f>
        <v>171.8</v>
      </c>
      <c r="M359" s="5">
        <f>AVERAGE(All_India_Index_Upto_April23__1___1[[#This Row],[Personal care and effects]])</f>
        <v>176</v>
      </c>
      <c r="N359" s="5">
        <f>AVERAGE(All_India_Index_Upto_April23__1___1[[#This Row],[Miscellaneous]])</f>
        <v>168.2</v>
      </c>
      <c r="O359" s="5">
        <f>AVERAGE(All_India_Index_Upto_April23__1___1[[#This Row],[General index]])</f>
        <v>174.1</v>
      </c>
      <c r="P359" s="2">
        <f t="shared" si="65"/>
        <v>1577.4833333333331</v>
      </c>
      <c r="R359" s="10">
        <f t="shared" si="66"/>
        <v>11.195046962989572</v>
      </c>
      <c r="S359" s="10">
        <f t="shared" si="67"/>
        <v>12.748153704740675</v>
      </c>
      <c r="T359" s="10">
        <f t="shared" si="68"/>
        <v>10.94359158575368</v>
      </c>
      <c r="U359" s="10">
        <f t="shared" si="69"/>
        <v>11.448615410622406</v>
      </c>
      <c r="V359" s="10">
        <f t="shared" si="70"/>
        <v>10.919291276188869</v>
      </c>
      <c r="W359" s="10">
        <f t="shared" si="71"/>
        <v>10.104702638168392</v>
      </c>
      <c r="X359" s="10">
        <f t="shared" si="72"/>
        <v>10.592821899861594</v>
      </c>
      <c r="Y359" s="10">
        <f t="shared" si="73"/>
        <v>10.890764825830175</v>
      </c>
      <c r="Z359" s="10">
        <f t="shared" si="74"/>
        <v>11.157011695844648</v>
      </c>
    </row>
    <row r="360" spans="1:26" x14ac:dyDescent="0.3">
      <c r="A360" s="6" t="s">
        <v>34</v>
      </c>
      <c r="B360" s="6">
        <v>2022</v>
      </c>
      <c r="C360" s="6" t="s">
        <v>54</v>
      </c>
      <c r="D360" s="21">
        <f t="shared" si="64"/>
        <v>44896</v>
      </c>
      <c r="E360" s="4">
        <f>AVERAGE(All_India_Index_Upto_April23__1___1[[#This Row],[Cereals and products]:[Food and beverages]])</f>
        <v>175.64615384615385</v>
      </c>
      <c r="F360" s="5">
        <f>AVERAGE(All_India_Index_Upto_April23__1___1[[#This Row],[Pan, tobacco and intoxicants]])</f>
        <v>197.3</v>
      </c>
      <c r="G360" s="4">
        <f>AVERAGE(All_India_Index_Upto_April23__1___1[[#This Row],[Clothing]:[Clothing and footwear]])</f>
        <v>181.33333333333334</v>
      </c>
      <c r="H360" s="5">
        <f>AVERAGE(All_India_Index_Upto_April23__1___1[[#This Row],[Housing]:[Fuel and light]])</f>
        <v>182</v>
      </c>
      <c r="I360" s="5">
        <f>AVERAGE(All_India_Index_Upto_April23__1___1[[#This Row],[Household goods and services]:[Health]])</f>
        <v>176.6</v>
      </c>
      <c r="J360" s="5">
        <f>AVERAGE(All_India_Index_Upto_April23__1___1[[#This Row],[Transport and communication]])</f>
        <v>163.4</v>
      </c>
      <c r="K360" s="5">
        <f>AVERAGE(All_India_Index_Upto_April23__1___1[[#This Row],[Recreation and amusement]])</f>
        <v>168.9</v>
      </c>
      <c r="L360" s="5">
        <f>AVERAGE(All_India_Index_Upto_April23__1___1[[#This Row],[Education]])</f>
        <v>174.1</v>
      </c>
      <c r="M360" s="5">
        <f>AVERAGE(All_India_Index_Upto_April23__1___1[[#This Row],[Personal care and effects]])</f>
        <v>175.8</v>
      </c>
      <c r="N360" s="5">
        <f>AVERAGE(All_India_Index_Upto_April23__1___1[[#This Row],[Miscellaneous]])</f>
        <v>172</v>
      </c>
      <c r="O360" s="5">
        <f>AVERAGE(All_India_Index_Upto_April23__1___1[[#This Row],[General index]])</f>
        <v>175.7</v>
      </c>
      <c r="P360" s="2">
        <f>AVERAGE(E360:N360)</f>
        <v>176.70794871794871</v>
      </c>
      <c r="R360" s="10">
        <f t="shared" si="66"/>
        <v>99.399124442619367</v>
      </c>
      <c r="S360" s="10">
        <f t="shared" si="67"/>
        <v>111.65315506826417</v>
      </c>
      <c r="T360" s="10">
        <f t="shared" si="68"/>
        <v>102.61753059154539</v>
      </c>
      <c r="U360" s="10">
        <f t="shared" si="69"/>
        <v>102.99480092460254</v>
      </c>
      <c r="V360" s="10">
        <f t="shared" si="70"/>
        <v>99.938911226839593</v>
      </c>
      <c r="W360" s="10">
        <f t="shared" si="71"/>
        <v>92.468958632307988</v>
      </c>
      <c r="X360" s="10">
        <f t="shared" si="72"/>
        <v>95.581438880029495</v>
      </c>
      <c r="Y360" s="10">
        <f t="shared" si="73"/>
        <v>98.524147477875275</v>
      </c>
      <c r="Z360" s="10">
        <f t="shared" si="74"/>
        <v>99.486186827171025</v>
      </c>
    </row>
    <row r="361" spans="1:26" hidden="1" x14ac:dyDescent="0.3">
      <c r="A361" s="5" t="s">
        <v>30</v>
      </c>
      <c r="B361" s="5">
        <v>2023</v>
      </c>
      <c r="C361" s="5" t="s">
        <v>31</v>
      </c>
      <c r="D361" s="21">
        <f t="shared" si="64"/>
        <v>44927</v>
      </c>
      <c r="E361" s="4">
        <f>AVERAGE(All_India_Index_Upto_April23__1___1[[#This Row],[Cereals and products]:[Food and beverages]])</f>
        <v>175.63076923076926</v>
      </c>
      <c r="F361" s="5">
        <f>AVERAGE(All_India_Index_Upto_April23__1___1[[#This Row],[Pan, tobacco and intoxicants]])</f>
        <v>196.9</v>
      </c>
      <c r="G361" s="4">
        <f>AVERAGE(All_India_Index_Upto_April23__1___1[[#This Row],[Clothing]:[Clothing and footwear]])</f>
        <v>187.96666666666667</v>
      </c>
      <c r="H361" s="5">
        <f>AVERAGE(All_India_Index_Upto_April23__1___1[[#This Row],[Housing]:[Fuel and light]])</f>
        <v>183.2</v>
      </c>
      <c r="I361" s="5">
        <f>AVERAGE(All_India_Index_Upto_April23__1___1[[#This Row],[Household goods and services]:[Health]])</f>
        <v>180.95</v>
      </c>
      <c r="J361" s="5">
        <f>AVERAGE(All_India_Index_Upto_April23__1___1[[#This Row],[Transport and communication]])</f>
        <v>168.2</v>
      </c>
      <c r="K361" s="5">
        <f>AVERAGE(All_India_Index_Upto_April23__1___1[[#This Row],[Recreation and amusement]])</f>
        <v>171.8</v>
      </c>
      <c r="L361" s="5">
        <f>AVERAGE(All_India_Index_Upto_April23__1___1[[#This Row],[Education]])</f>
        <v>177.8</v>
      </c>
      <c r="M361" s="5">
        <f>AVERAGE(All_India_Index_Upto_April23__1___1[[#This Row],[Personal care and effects]])</f>
        <v>178.4</v>
      </c>
      <c r="N361" s="5">
        <f>AVERAGE(All_India_Index_Upto_April23__1___1[[#This Row],[Miscellaneous]])</f>
        <v>176.5</v>
      </c>
      <c r="O361" s="5">
        <f>AVERAGE(All_India_Index_Upto_April23__1___1[[#This Row],[General index]])</f>
        <v>177.8</v>
      </c>
      <c r="P361" s="2">
        <f t="shared" si="65"/>
        <v>1620.8474358974361</v>
      </c>
      <c r="R361" s="10">
        <f t="shared" si="66"/>
        <v>10.835737240965276</v>
      </c>
      <c r="S361" s="10">
        <f t="shared" si="67"/>
        <v>12.147966282278738</v>
      </c>
      <c r="T361" s="10">
        <f t="shared" si="68"/>
        <v>11.596814265408803</v>
      </c>
      <c r="U361" s="10">
        <f t="shared" si="69"/>
        <v>11.302729420586411</v>
      </c>
      <c r="V361" s="10">
        <f t="shared" si="70"/>
        <v>11.163913147680738</v>
      </c>
      <c r="W361" s="10">
        <f t="shared" si="71"/>
        <v>10.377287601215253</v>
      </c>
      <c r="X361" s="10">
        <f t="shared" si="72"/>
        <v>10.599393637864333</v>
      </c>
      <c r="Y361" s="10">
        <f t="shared" si="73"/>
        <v>10.969570365612796</v>
      </c>
      <c r="Z361" s="10">
        <f t="shared" si="74"/>
        <v>11.006588038387642</v>
      </c>
    </row>
    <row r="362" spans="1:26" hidden="1" x14ac:dyDescent="0.3">
      <c r="A362" s="6" t="s">
        <v>32</v>
      </c>
      <c r="B362" s="6">
        <v>2023</v>
      </c>
      <c r="C362" s="6" t="s">
        <v>31</v>
      </c>
      <c r="D362" s="21">
        <f t="shared" si="64"/>
        <v>44927</v>
      </c>
      <c r="E362" s="4">
        <f>AVERAGE(All_India_Index_Upto_April23__1___1[[#This Row],[Cereals and products]:[Food and beverages]])</f>
        <v>177.70769230769233</v>
      </c>
      <c r="F362" s="5">
        <f>AVERAGE(All_India_Index_Upto_April23__1___1[[#This Row],[Pan, tobacco and intoxicants]])</f>
        <v>201.6</v>
      </c>
      <c r="G362" s="4">
        <f>AVERAGE(All_India_Index_Upto_April23__1___1[[#This Row],[Clothing]:[Clothing and footwear]])</f>
        <v>173.53333333333333</v>
      </c>
      <c r="H362" s="5">
        <f>AVERAGE(All_India_Index_Upto_April23__1___1[[#This Row],[Housing]:[Fuel and light]])</f>
        <v>180.1</v>
      </c>
      <c r="I362" s="5">
        <f>AVERAGE(All_India_Index_Upto_April23__1___1[[#This Row],[Household goods and services]:[Health]])</f>
        <v>173.25</v>
      </c>
      <c r="J362" s="5">
        <f>AVERAGE(All_India_Index_Upto_April23__1___1[[#This Row],[Transport and communication]])</f>
        <v>159.5</v>
      </c>
      <c r="K362" s="5">
        <f>AVERAGE(All_India_Index_Upto_April23__1___1[[#This Row],[Recreation and amusement]])</f>
        <v>167.8</v>
      </c>
      <c r="L362" s="5">
        <f>AVERAGE(All_India_Index_Upto_April23__1___1[[#This Row],[Education]])</f>
        <v>171.8</v>
      </c>
      <c r="M362" s="5">
        <f>AVERAGE(All_India_Index_Upto_April23__1___1[[#This Row],[Personal care and effects]])</f>
        <v>178.8</v>
      </c>
      <c r="N362" s="5">
        <f>AVERAGE(All_India_Index_Upto_April23__1___1[[#This Row],[Miscellaneous]])</f>
        <v>168.9</v>
      </c>
      <c r="O362" s="5">
        <f>AVERAGE(All_India_Index_Upto_April23__1___1[[#This Row],[General index]])</f>
        <v>174.9</v>
      </c>
      <c r="P362" s="2">
        <f t="shared" si="65"/>
        <v>1584.0910256410255</v>
      </c>
      <c r="R362" s="10">
        <f t="shared" si="66"/>
        <v>11.218275303073593</v>
      </c>
      <c r="S362" s="10">
        <f t="shared" si="67"/>
        <v>12.726541387886444</v>
      </c>
      <c r="T362" s="10">
        <f t="shared" si="68"/>
        <v>10.95475768276072</v>
      </c>
      <c r="U362" s="10">
        <f t="shared" si="69"/>
        <v>11.369296150587047</v>
      </c>
      <c r="V362" s="10">
        <f t="shared" si="70"/>
        <v>10.936871505214915</v>
      </c>
      <c r="W362" s="10">
        <f t="shared" si="71"/>
        <v>10.068865830197858</v>
      </c>
      <c r="X362" s="10">
        <f t="shared" si="72"/>
        <v>10.592825619480882</v>
      </c>
      <c r="Y362" s="10">
        <f t="shared" si="73"/>
        <v>10.845336361304025</v>
      </c>
      <c r="Z362" s="10">
        <f t="shared" si="74"/>
        <v>11.287230159494527</v>
      </c>
    </row>
    <row r="363" spans="1:26" x14ac:dyDescent="0.3">
      <c r="A363" s="5" t="s">
        <v>34</v>
      </c>
      <c r="B363" s="5">
        <v>2023</v>
      </c>
      <c r="C363" s="5" t="s">
        <v>31</v>
      </c>
      <c r="D363" s="21">
        <f t="shared" si="64"/>
        <v>44927</v>
      </c>
      <c r="E363" s="4">
        <f>AVERAGE(All_India_Index_Upto_April23__1___1[[#This Row],[Cereals and products]:[Food and beverages]])</f>
        <v>176.36153846153846</v>
      </c>
      <c r="F363" s="5">
        <f>AVERAGE(All_India_Index_Upto_April23__1___1[[#This Row],[Pan, tobacco and intoxicants]])</f>
        <v>198.2</v>
      </c>
      <c r="G363" s="4">
        <f>AVERAGE(All_India_Index_Upto_April23__1___1[[#This Row],[Clothing]:[Clothing and footwear]])</f>
        <v>182.1</v>
      </c>
      <c r="H363" s="5">
        <f>AVERAGE(All_India_Index_Upto_April23__1___1[[#This Row],[Housing]:[Fuel and light]])</f>
        <v>182</v>
      </c>
      <c r="I363" s="5">
        <f>AVERAGE(All_India_Index_Upto_April23__1___1[[#This Row],[Household goods and services]:[Health]])</f>
        <v>177.60000000000002</v>
      </c>
      <c r="J363" s="5">
        <f>AVERAGE(All_India_Index_Upto_April23__1___1[[#This Row],[Transport and communication]])</f>
        <v>163.6</v>
      </c>
      <c r="K363" s="5">
        <f>AVERAGE(All_India_Index_Upto_April23__1___1[[#This Row],[Recreation and amusement]])</f>
        <v>169.5</v>
      </c>
      <c r="L363" s="5">
        <f>AVERAGE(All_India_Index_Upto_April23__1___1[[#This Row],[Education]])</f>
        <v>174.3</v>
      </c>
      <c r="M363" s="5">
        <f>AVERAGE(All_India_Index_Upto_April23__1___1[[#This Row],[Personal care and effects]])</f>
        <v>178.6</v>
      </c>
      <c r="N363" s="5">
        <f>AVERAGE(All_India_Index_Upto_April23__1___1[[#This Row],[Miscellaneous]])</f>
        <v>172.8</v>
      </c>
      <c r="O363" s="5">
        <f>AVERAGE(All_India_Index_Upto_April23__1___1[[#This Row],[General index]])</f>
        <v>176.5</v>
      </c>
      <c r="P363" s="2">
        <f>AVERAGE(E363:N363)</f>
        <v>177.50615384615384</v>
      </c>
      <c r="R363" s="10">
        <f t="shared" si="66"/>
        <v>99.355168618206093</v>
      </c>
      <c r="S363" s="10">
        <f t="shared" si="67"/>
        <v>111.65810069423378</v>
      </c>
      <c r="T363" s="10">
        <f t="shared" si="68"/>
        <v>102.58799261564062</v>
      </c>
      <c r="U363" s="10">
        <f t="shared" si="69"/>
        <v>102.53165654061831</v>
      </c>
      <c r="V363" s="10">
        <f t="shared" si="70"/>
        <v>100.05286923963635</v>
      </c>
      <c r="W363" s="10">
        <f t="shared" si="71"/>
        <v>92.165818736511852</v>
      </c>
      <c r="X363" s="10">
        <f t="shared" si="72"/>
        <v>95.489647162828589</v>
      </c>
      <c r="Y363" s="10">
        <f t="shared" si="73"/>
        <v>98.193778763899857</v>
      </c>
      <c r="Z363" s="10">
        <f t="shared" si="74"/>
        <v>100.61622998985951</v>
      </c>
    </row>
    <row r="364" spans="1:26" hidden="1" x14ac:dyDescent="0.3">
      <c r="A364" s="6" t="s">
        <v>30</v>
      </c>
      <c r="B364" s="6">
        <v>2023</v>
      </c>
      <c r="C364" s="6" t="s">
        <v>35</v>
      </c>
      <c r="D364" s="21">
        <f t="shared" si="64"/>
        <v>44958</v>
      </c>
      <c r="E364" s="4">
        <f>AVERAGE(All_India_Index_Upto_April23__1___1[[#This Row],[Cereals and products]:[Food and beverages]])</f>
        <v>174.28461538461536</v>
      </c>
      <c r="F364" s="5">
        <f>AVERAGE(All_India_Index_Upto_April23__1___1[[#This Row],[Pan, tobacco and intoxicants]])</f>
        <v>198.3</v>
      </c>
      <c r="G364" s="4">
        <f>AVERAGE(All_India_Index_Upto_April23__1___1[[#This Row],[Clothing]:[Clothing and footwear]])</f>
        <v>188.86666666666667</v>
      </c>
      <c r="H364" s="5">
        <f>AVERAGE(All_India_Index_Upto_April23__1___1[[#This Row],[Housing]:[Fuel and light]])</f>
        <v>181.6</v>
      </c>
      <c r="I364" s="5">
        <f>AVERAGE(All_India_Index_Upto_April23__1___1[[#This Row],[Household goods and services]:[Health]])</f>
        <v>182.6</v>
      </c>
      <c r="J364" s="5">
        <f>AVERAGE(All_India_Index_Upto_April23__1___1[[#This Row],[Transport and communication]])</f>
        <v>169</v>
      </c>
      <c r="K364" s="5">
        <f>AVERAGE(All_India_Index_Upto_April23__1___1[[#This Row],[Recreation and amusement]])</f>
        <v>172.8</v>
      </c>
      <c r="L364" s="5">
        <f>AVERAGE(All_India_Index_Upto_April23__1___1[[#This Row],[Education]])</f>
        <v>178.5</v>
      </c>
      <c r="M364" s="5">
        <f>AVERAGE(All_India_Index_Upto_April23__1___1[[#This Row],[Personal care and effects]])</f>
        <v>180.7</v>
      </c>
      <c r="N364" s="5">
        <f>AVERAGE(All_India_Index_Upto_April23__1___1[[#This Row],[Miscellaneous]])</f>
        <v>177.9</v>
      </c>
      <c r="O364" s="5">
        <f>AVERAGE(All_India_Index_Upto_April23__1___1[[#This Row],[General index]])</f>
        <v>178</v>
      </c>
      <c r="P364" s="2">
        <f t="shared" si="65"/>
        <v>1626.6512820512821</v>
      </c>
      <c r="R364" s="10">
        <f t="shared" si="66"/>
        <v>10.714319492302888</v>
      </c>
      <c r="S364" s="10">
        <f t="shared" si="67"/>
        <v>12.190689067046662</v>
      </c>
      <c r="T364" s="10">
        <f t="shared" si="68"/>
        <v>11.61076554948502</v>
      </c>
      <c r="U364" s="10">
        <f t="shared" si="69"/>
        <v>11.164040012988773</v>
      </c>
      <c r="V364" s="10">
        <f t="shared" si="70"/>
        <v>11.225516004249723</v>
      </c>
      <c r="W364" s="10">
        <f t="shared" si="71"/>
        <v>10.389442523100785</v>
      </c>
      <c r="X364" s="10">
        <f t="shared" si="72"/>
        <v>10.623051289892402</v>
      </c>
      <c r="Y364" s="10">
        <f t="shared" si="73"/>
        <v>10.973464440079823</v>
      </c>
      <c r="Z364" s="10">
        <f t="shared" si="74"/>
        <v>11.108711620853915</v>
      </c>
    </row>
    <row r="365" spans="1:26" hidden="1" x14ac:dyDescent="0.3">
      <c r="A365" s="5" t="s">
        <v>32</v>
      </c>
      <c r="B365" s="5">
        <v>2023</v>
      </c>
      <c r="C365" s="5" t="s">
        <v>35</v>
      </c>
      <c r="D365" s="21">
        <f t="shared" si="64"/>
        <v>44958</v>
      </c>
      <c r="E365" s="4">
        <f>AVERAGE(All_India_Index_Upto_April23__1___1[[#This Row],[Cereals and products]:[Food and beverages]])</f>
        <v>177.16923076923075</v>
      </c>
      <c r="F365" s="5">
        <f>AVERAGE(All_India_Index_Upto_April23__1___1[[#This Row],[Pan, tobacco and intoxicants]])</f>
        <v>202.7</v>
      </c>
      <c r="G365" s="4">
        <f>AVERAGE(All_India_Index_Upto_April23__1___1[[#This Row],[Clothing]:[Clothing and footwear]])</f>
        <v>175.16666666666666</v>
      </c>
      <c r="H365" s="5">
        <f>AVERAGE(All_India_Index_Upto_April23__1___1[[#This Row],[Housing]:[Fuel and light]])</f>
        <v>182.8</v>
      </c>
      <c r="I365" s="5">
        <f>AVERAGE(All_India_Index_Upto_April23__1___1[[#This Row],[Household goods and services]:[Health]])</f>
        <v>175</v>
      </c>
      <c r="J365" s="5">
        <f>AVERAGE(All_India_Index_Upto_April23__1___1[[#This Row],[Transport and communication]])</f>
        <v>159.80000000000001</v>
      </c>
      <c r="K365" s="5">
        <f>AVERAGE(All_India_Index_Upto_April23__1___1[[#This Row],[Recreation and amusement]])</f>
        <v>168.4</v>
      </c>
      <c r="L365" s="5">
        <f>AVERAGE(All_India_Index_Upto_April23__1___1[[#This Row],[Education]])</f>
        <v>172.5</v>
      </c>
      <c r="M365" s="5">
        <f>AVERAGE(All_India_Index_Upto_April23__1___1[[#This Row],[Personal care and effects]])</f>
        <v>181.4</v>
      </c>
      <c r="N365" s="5">
        <f>AVERAGE(All_India_Index_Upto_April23__1___1[[#This Row],[Miscellaneous]])</f>
        <v>170</v>
      </c>
      <c r="O365" s="5">
        <f>AVERAGE(All_India_Index_Upto_April23__1___1[[#This Row],[General index]])</f>
        <v>176.3</v>
      </c>
      <c r="P365" s="2">
        <f t="shared" si="65"/>
        <v>1594.9358974358975</v>
      </c>
      <c r="R365" s="10">
        <f t="shared" si="66"/>
        <v>11.108235199549856</v>
      </c>
      <c r="S365" s="10">
        <f t="shared" si="67"/>
        <v>12.708974719665608</v>
      </c>
      <c r="T365" s="10">
        <f t="shared" si="68"/>
        <v>10.982677545114745</v>
      </c>
      <c r="U365" s="10">
        <f t="shared" si="69"/>
        <v>11.461275672199671</v>
      </c>
      <c r="V365" s="10">
        <f t="shared" si="70"/>
        <v>10.9722278043487</v>
      </c>
      <c r="W365" s="10">
        <f t="shared" si="71"/>
        <v>10.01921144648527</v>
      </c>
      <c r="X365" s="10">
        <f t="shared" si="72"/>
        <v>10.558418070013262</v>
      </c>
      <c r="Y365" s="10">
        <f t="shared" si="73"/>
        <v>10.815481692858004</v>
      </c>
      <c r="Z365" s="10">
        <f t="shared" si="74"/>
        <v>11.373497849764881</v>
      </c>
    </row>
    <row r="366" spans="1:26" x14ac:dyDescent="0.3">
      <c r="A366" s="6" t="s">
        <v>34</v>
      </c>
      <c r="B366" s="6">
        <v>2023</v>
      </c>
      <c r="C366" s="6" t="s">
        <v>35</v>
      </c>
      <c r="D366" s="21">
        <f t="shared" si="64"/>
        <v>44958</v>
      </c>
      <c r="E366" s="4">
        <f>AVERAGE(All_India_Index_Upto_April23__1___1[[#This Row],[Cereals and products]:[Food and beverages]])</f>
        <v>175.3153846153846</v>
      </c>
      <c r="F366" s="5">
        <f>AVERAGE(All_India_Index_Upto_April23__1___1[[#This Row],[Pan, tobacco and intoxicants]])</f>
        <v>199.5</v>
      </c>
      <c r="G366" s="4">
        <f>AVERAGE(All_India_Index_Upto_April23__1___1[[#This Row],[Clothing]:[Clothing and footwear]])</f>
        <v>183.33333333333334</v>
      </c>
      <c r="H366" s="5">
        <f>AVERAGE(All_India_Index_Upto_April23__1___1[[#This Row],[Housing]:[Fuel and light]])</f>
        <v>182.1</v>
      </c>
      <c r="I366" s="5">
        <f>AVERAGE(All_India_Index_Upto_April23__1___1[[#This Row],[Household goods and services]:[Health]])</f>
        <v>179.3</v>
      </c>
      <c r="J366" s="5">
        <f>AVERAGE(All_India_Index_Upto_April23__1___1[[#This Row],[Transport and communication]])</f>
        <v>164.2</v>
      </c>
      <c r="K366" s="5">
        <f>AVERAGE(All_India_Index_Upto_April23__1___1[[#This Row],[Recreation and amusement]])</f>
        <v>170.3</v>
      </c>
      <c r="L366" s="5">
        <f>AVERAGE(All_India_Index_Upto_April23__1___1[[#This Row],[Education]])</f>
        <v>175</v>
      </c>
      <c r="M366" s="5">
        <f>AVERAGE(All_India_Index_Upto_April23__1___1[[#This Row],[Personal care and effects]])</f>
        <v>181</v>
      </c>
      <c r="N366" s="5">
        <f>AVERAGE(All_India_Index_Upto_April23__1___1[[#This Row],[Miscellaneous]])</f>
        <v>174.1</v>
      </c>
      <c r="O366" s="5">
        <f>AVERAGE(All_India_Index_Upto_April23__1___1[[#This Row],[General index]])</f>
        <v>177.2</v>
      </c>
      <c r="P366" s="2">
        <f>AVERAGE(E366:N366)</f>
        <v>178.41487179487177</v>
      </c>
      <c r="R366" s="10">
        <f t="shared" si="66"/>
        <v>98.262764113604433</v>
      </c>
      <c r="S366" s="10">
        <f t="shared" si="67"/>
        <v>111.8180328764131</v>
      </c>
      <c r="T366" s="10">
        <f t="shared" si="68"/>
        <v>102.75675535844144</v>
      </c>
      <c r="U366" s="10">
        <f t="shared" si="69"/>
        <v>102.06548264057555</v>
      </c>
      <c r="V366" s="10">
        <f t="shared" si="70"/>
        <v>100.49610674055573</v>
      </c>
      <c r="W366" s="10">
        <f t="shared" si="71"/>
        <v>92.032686708305917</v>
      </c>
      <c r="X366" s="10">
        <f t="shared" si="72"/>
        <v>95.451684204777706</v>
      </c>
      <c r="Y366" s="10">
        <f t="shared" si="73"/>
        <v>98.08599375123957</v>
      </c>
      <c r="Z366" s="10">
        <f t="shared" si="74"/>
        <v>101.44894210842492</v>
      </c>
    </row>
    <row r="367" spans="1:26" hidden="1" x14ac:dyDescent="0.3">
      <c r="A367" s="5" t="s">
        <v>30</v>
      </c>
      <c r="B367" s="5">
        <v>2023</v>
      </c>
      <c r="C367" s="5" t="s">
        <v>37</v>
      </c>
      <c r="D367" s="21">
        <f t="shared" si="64"/>
        <v>44986</v>
      </c>
      <c r="E367" s="4">
        <f>AVERAGE(All_India_Index_Upto_April23__1___1[[#This Row],[Cereals and products]:[Food and beverages]])</f>
        <v>174.2923076923077</v>
      </c>
      <c r="F367" s="5">
        <f>AVERAGE(All_India_Index_Upto_April23__1___1[[#This Row],[Pan, tobacco and intoxicants]])</f>
        <v>198.4</v>
      </c>
      <c r="G367" s="4">
        <f>AVERAGE(All_India_Index_Upto_April23__1___1[[#This Row],[Clothing]:[Clothing and footwear]])</f>
        <v>188.86666666666667</v>
      </c>
      <c r="H367" s="5">
        <f>AVERAGE(All_India_Index_Upto_April23__1___1[[#This Row],[Housing]:[Fuel and light]])</f>
        <v>181.4</v>
      </c>
      <c r="I367" s="5">
        <f>AVERAGE(All_India_Index_Upto_April23__1___1[[#This Row],[Household goods and services]:[Health]])</f>
        <v>182.6</v>
      </c>
      <c r="J367" s="5">
        <f>AVERAGE(All_India_Index_Upto_April23__1___1[[#This Row],[Transport and communication]])</f>
        <v>169</v>
      </c>
      <c r="K367" s="5">
        <f>AVERAGE(All_India_Index_Upto_April23__1___1[[#This Row],[Recreation and amusement]])</f>
        <v>172.8</v>
      </c>
      <c r="L367" s="5">
        <f>AVERAGE(All_India_Index_Upto_April23__1___1[[#This Row],[Education]])</f>
        <v>178.5</v>
      </c>
      <c r="M367" s="5">
        <f>AVERAGE(All_India_Index_Upto_April23__1___1[[#This Row],[Personal care and effects]])</f>
        <v>180.7</v>
      </c>
      <c r="N367" s="5">
        <f>AVERAGE(All_India_Index_Upto_April23__1___1[[#This Row],[Miscellaneous]])</f>
        <v>177.9</v>
      </c>
      <c r="O367" s="5">
        <f>AVERAGE(All_India_Index_Upto_April23__1___1[[#This Row],[General index]])</f>
        <v>178</v>
      </c>
      <c r="P367" s="2">
        <f t="shared" si="65"/>
        <v>1626.5589743589744</v>
      </c>
      <c r="R367" s="10">
        <f t="shared" si="66"/>
        <v>10.715400452110638</v>
      </c>
      <c r="S367" s="10">
        <f t="shared" si="67"/>
        <v>12.197528840181727</v>
      </c>
      <c r="T367" s="10">
        <f t="shared" si="68"/>
        <v>11.611424463788586</v>
      </c>
      <c r="U367" s="10">
        <f t="shared" si="69"/>
        <v>11.15237767948067</v>
      </c>
      <c r="V367" s="10">
        <f t="shared" si="70"/>
        <v>11.226153055530157</v>
      </c>
      <c r="W367" s="10">
        <f t="shared" si="71"/>
        <v>10.390032126969313</v>
      </c>
      <c r="X367" s="10">
        <f t="shared" si="72"/>
        <v>10.62365415112602</v>
      </c>
      <c r="Y367" s="10">
        <f t="shared" si="73"/>
        <v>10.97408718736108</v>
      </c>
      <c r="Z367" s="10">
        <f t="shared" si="74"/>
        <v>11.109342043451804</v>
      </c>
    </row>
    <row r="368" spans="1:26" hidden="1" x14ac:dyDescent="0.3">
      <c r="A368" s="6" t="s">
        <v>32</v>
      </c>
      <c r="B368" s="6">
        <v>2023</v>
      </c>
      <c r="C368" s="6" t="s">
        <v>37</v>
      </c>
      <c r="D368" s="21">
        <f t="shared" si="64"/>
        <v>44986</v>
      </c>
      <c r="E368" s="4">
        <f>AVERAGE(All_India_Index_Upto_April23__1___1[[#This Row],[Cereals and products]:[Food and beverages]])</f>
        <v>177.1846153846154</v>
      </c>
      <c r="F368" s="5">
        <f>AVERAGE(All_India_Index_Upto_April23__1___1[[#This Row],[Pan, tobacco and intoxicants]])</f>
        <v>202.7</v>
      </c>
      <c r="G368" s="4">
        <f>AVERAGE(All_India_Index_Upto_April23__1___1[[#This Row],[Clothing]:[Clothing and footwear]])</f>
        <v>175.13333333333333</v>
      </c>
      <c r="H368" s="5">
        <f>AVERAGE(All_India_Index_Upto_April23__1___1[[#This Row],[Housing]:[Fuel and light]])</f>
        <v>182.6</v>
      </c>
      <c r="I368" s="5">
        <f>AVERAGE(All_India_Index_Upto_April23__1___1[[#This Row],[Household goods and services]:[Health]])</f>
        <v>175</v>
      </c>
      <c r="J368" s="5">
        <f>AVERAGE(All_India_Index_Upto_April23__1___1[[#This Row],[Transport and communication]])</f>
        <v>159.80000000000001</v>
      </c>
      <c r="K368" s="5">
        <f>AVERAGE(All_India_Index_Upto_April23__1___1[[#This Row],[Recreation and amusement]])</f>
        <v>168.4</v>
      </c>
      <c r="L368" s="5">
        <f>AVERAGE(All_India_Index_Upto_April23__1___1[[#This Row],[Education]])</f>
        <v>172.5</v>
      </c>
      <c r="M368" s="5">
        <f>AVERAGE(All_India_Index_Upto_April23__1___1[[#This Row],[Personal care and effects]])</f>
        <v>181.5</v>
      </c>
      <c r="N368" s="5">
        <f>AVERAGE(All_India_Index_Upto_April23__1___1[[#This Row],[Miscellaneous]])</f>
        <v>170</v>
      </c>
      <c r="O368" s="5">
        <f>AVERAGE(All_India_Index_Upto_April23__1___1[[#This Row],[General index]])</f>
        <v>176.3</v>
      </c>
      <c r="P368" s="2">
        <f t="shared" si="65"/>
        <v>1594.8179487179489</v>
      </c>
      <c r="R368" s="10">
        <f t="shared" si="66"/>
        <v>11.110021399436315</v>
      </c>
      <c r="S368" s="10">
        <f t="shared" si="67"/>
        <v>12.709914643420436</v>
      </c>
      <c r="T368" s="10">
        <f t="shared" si="68"/>
        <v>10.981399693558783</v>
      </c>
      <c r="U368" s="10">
        <f t="shared" si="69"/>
        <v>11.449582702952993</v>
      </c>
      <c r="V368" s="10">
        <f t="shared" si="70"/>
        <v>10.973039282676746</v>
      </c>
      <c r="W368" s="10">
        <f t="shared" si="71"/>
        <v>10.019952442124252</v>
      </c>
      <c r="X368" s="10">
        <f t="shared" si="72"/>
        <v>10.559198944015794</v>
      </c>
      <c r="Y368" s="10">
        <f t="shared" si="73"/>
        <v>10.816281578638506</v>
      </c>
      <c r="Z368" s="10">
        <f t="shared" si="74"/>
        <v>11.380609313176167</v>
      </c>
    </row>
    <row r="369" spans="1:26" x14ac:dyDescent="0.3">
      <c r="A369" s="5" t="s">
        <v>34</v>
      </c>
      <c r="B369" s="5">
        <v>2023</v>
      </c>
      <c r="C369" s="5" t="s">
        <v>37</v>
      </c>
      <c r="D369" s="21">
        <f t="shared" si="64"/>
        <v>44986</v>
      </c>
      <c r="E369" s="4">
        <f>AVERAGE(All_India_Index_Upto_April23__1___1[[#This Row],[Cereals and products]:[Food and beverages]])</f>
        <v>175.32307692307691</v>
      </c>
      <c r="F369" s="5">
        <f>AVERAGE(All_India_Index_Upto_April23__1___1[[#This Row],[Pan, tobacco and intoxicants]])</f>
        <v>199.5</v>
      </c>
      <c r="G369" s="4">
        <f>AVERAGE(All_India_Index_Upto_April23__1___1[[#This Row],[Clothing]:[Clothing and footwear]])</f>
        <v>183.29999999999998</v>
      </c>
      <c r="H369" s="5">
        <f>AVERAGE(All_India_Index_Upto_April23__1___1[[#This Row],[Housing]:[Fuel and light]])</f>
        <v>181.9</v>
      </c>
      <c r="I369" s="5">
        <f>AVERAGE(All_India_Index_Upto_April23__1___1[[#This Row],[Household goods and services]:[Health]])</f>
        <v>179.3</v>
      </c>
      <c r="J369" s="5">
        <f>AVERAGE(All_India_Index_Upto_April23__1___1[[#This Row],[Transport and communication]])</f>
        <v>164.2</v>
      </c>
      <c r="K369" s="5">
        <f>AVERAGE(All_India_Index_Upto_April23__1___1[[#This Row],[Recreation and amusement]])</f>
        <v>170.3</v>
      </c>
      <c r="L369" s="5">
        <f>AVERAGE(All_India_Index_Upto_April23__1___1[[#This Row],[Education]])</f>
        <v>175</v>
      </c>
      <c r="M369" s="5">
        <f>AVERAGE(All_India_Index_Upto_April23__1___1[[#This Row],[Personal care and effects]])</f>
        <v>181</v>
      </c>
      <c r="N369" s="5">
        <f>AVERAGE(All_India_Index_Upto_April23__1___1[[#This Row],[Miscellaneous]])</f>
        <v>174.1</v>
      </c>
      <c r="O369" s="5">
        <f>AVERAGE(All_India_Index_Upto_April23__1___1[[#This Row],[General index]])</f>
        <v>177.2</v>
      </c>
      <c r="P369" s="2">
        <f>AVERAGE(E369:N369)</f>
        <v>178.39230769230767</v>
      </c>
      <c r="R369" s="10">
        <f t="shared" si="66"/>
        <v>98.279504980380324</v>
      </c>
      <c r="S369" s="10">
        <f t="shared" si="67"/>
        <v>111.83217627527921</v>
      </c>
      <c r="T369" s="10">
        <f t="shared" si="68"/>
        <v>102.75106722435427</v>
      </c>
      <c r="U369" s="10">
        <f t="shared" si="69"/>
        <v>101.96628002242252</v>
      </c>
      <c r="V369" s="10">
        <f t="shared" si="70"/>
        <v>100.50881807597779</v>
      </c>
      <c r="W369" s="10">
        <f t="shared" si="71"/>
        <v>92.044327540856372</v>
      </c>
      <c r="X369" s="10">
        <f t="shared" si="72"/>
        <v>95.463757492130583</v>
      </c>
      <c r="Y369" s="10">
        <f t="shared" si="73"/>
        <v>98.098400241472987</v>
      </c>
      <c r="Z369" s="10">
        <f t="shared" si="74"/>
        <v>101.46177396403779</v>
      </c>
    </row>
    <row r="370" spans="1:26" hidden="1" x14ac:dyDescent="0.3">
      <c r="A370" s="6" t="s">
        <v>30</v>
      </c>
      <c r="B370" s="6">
        <v>2023</v>
      </c>
      <c r="C370" s="6" t="s">
        <v>38</v>
      </c>
      <c r="D370" s="21">
        <f t="shared" si="64"/>
        <v>45017</v>
      </c>
      <c r="E370" s="4">
        <f>AVERAGE(All_India_Index_Upto_April23__1___1[[#This Row],[Cereals and products]:[Food and beverages]])</f>
        <v>174.93846153846152</v>
      </c>
      <c r="F370" s="5">
        <f>AVERAGE(All_India_Index_Upto_April23__1___1[[#This Row],[Pan, tobacco and intoxicants]])</f>
        <v>199.5</v>
      </c>
      <c r="G370" s="4">
        <f>AVERAGE(All_India_Index_Upto_April23__1___1[[#This Row],[Clothing]:[Clothing and footwear]])</f>
        <v>189.4</v>
      </c>
      <c r="H370" s="5">
        <f>AVERAGE(All_India_Index_Upto_April23__1___1[[#This Row],[Housing]:[Fuel and light]])</f>
        <v>181.5</v>
      </c>
      <c r="I370" s="5">
        <f>AVERAGE(All_India_Index_Upto_April23__1___1[[#This Row],[Household goods and services]:[Health]])</f>
        <v>183.14999999999998</v>
      </c>
      <c r="J370" s="5">
        <f>AVERAGE(All_India_Index_Upto_April23__1___1[[#This Row],[Transport and communication]])</f>
        <v>169.4</v>
      </c>
      <c r="K370" s="5">
        <f>AVERAGE(All_India_Index_Upto_April23__1___1[[#This Row],[Recreation and amusement]])</f>
        <v>173.2</v>
      </c>
      <c r="L370" s="5">
        <f>AVERAGE(All_India_Index_Upto_April23__1___1[[#This Row],[Education]])</f>
        <v>179.4</v>
      </c>
      <c r="M370" s="5">
        <f>AVERAGE(All_India_Index_Upto_April23__1___1[[#This Row],[Personal care and effects]])</f>
        <v>183.8</v>
      </c>
      <c r="N370" s="5">
        <f>AVERAGE(All_India_Index_Upto_April23__1___1[[#This Row],[Miscellaneous]])</f>
        <v>178.9</v>
      </c>
      <c r="O370" s="5">
        <f>AVERAGE(All_India_Index_Upto_April23__1___1[[#This Row],[General index]])</f>
        <v>178.8</v>
      </c>
      <c r="P370" s="2">
        <f t="shared" si="65"/>
        <v>1634.2884615384617</v>
      </c>
      <c r="R370" s="10">
        <f t="shared" si="66"/>
        <v>10.704258498758573</v>
      </c>
      <c r="S370" s="10">
        <f t="shared" si="67"/>
        <v>12.207147311815303</v>
      </c>
      <c r="T370" s="10">
        <f t="shared" si="68"/>
        <v>11.589141357683301</v>
      </c>
      <c r="U370" s="10">
        <f t="shared" si="69"/>
        <v>11.10575056187708</v>
      </c>
      <c r="V370" s="10">
        <f t="shared" si="70"/>
        <v>11.206711930621417</v>
      </c>
      <c r="W370" s="10">
        <f t="shared" si="71"/>
        <v>10.365367191085276</v>
      </c>
      <c r="X370" s="10">
        <f t="shared" si="72"/>
        <v>10.597884282738899</v>
      </c>
      <c r="Y370" s="10">
        <f t="shared" si="73"/>
        <v>10.977254274384288</v>
      </c>
      <c r="Z370" s="10">
        <f t="shared" si="74"/>
        <v>11.246484591035856</v>
      </c>
    </row>
    <row r="371" spans="1:26" hidden="1" x14ac:dyDescent="0.3">
      <c r="A371" s="5" t="s">
        <v>32</v>
      </c>
      <c r="B371" s="5">
        <v>2023</v>
      </c>
      <c r="C371" s="5" t="s">
        <v>38</v>
      </c>
      <c r="D371" s="21">
        <f t="shared" si="64"/>
        <v>45017</v>
      </c>
      <c r="E371" s="4">
        <f>AVERAGE(All_India_Index_Upto_April23__1___1[[#This Row],[Cereals and products]:[Food and beverages]])</f>
        <v>178.28461538461539</v>
      </c>
      <c r="F371" s="5">
        <f>AVERAGE(All_India_Index_Upto_April23__1___1[[#This Row],[Pan, tobacco and intoxicants]])</f>
        <v>203.5</v>
      </c>
      <c r="G371" s="4">
        <f>AVERAGE(All_India_Index_Upto_April23__1___1[[#This Row],[Clothing]:[Clothing and footwear]])</f>
        <v>175.86666666666667</v>
      </c>
      <c r="H371" s="5">
        <f>AVERAGE(All_India_Index_Upto_April23__1___1[[#This Row],[Housing]:[Fuel and light]])</f>
        <v>182.1</v>
      </c>
      <c r="I371" s="5">
        <f>AVERAGE(All_India_Index_Upto_April23__1___1[[#This Row],[Household goods and services]:[Health]])</f>
        <v>175.55</v>
      </c>
      <c r="J371" s="5">
        <f>AVERAGE(All_India_Index_Upto_April23__1___1[[#This Row],[Transport and communication]])</f>
        <v>160.1</v>
      </c>
      <c r="K371" s="5">
        <f>AVERAGE(All_India_Index_Upto_April23__1___1[[#This Row],[Recreation and amusement]])</f>
        <v>168.8</v>
      </c>
      <c r="L371" s="5">
        <f>AVERAGE(All_India_Index_Upto_April23__1___1[[#This Row],[Education]])</f>
        <v>174.2</v>
      </c>
      <c r="M371" s="5">
        <f>AVERAGE(All_India_Index_Upto_April23__1___1[[#This Row],[Personal care and effects]])</f>
        <v>184.4</v>
      </c>
      <c r="N371" s="5">
        <f>AVERAGE(All_India_Index_Upto_April23__1___1[[#This Row],[Miscellaneous]])</f>
        <v>170.9</v>
      </c>
      <c r="O371" s="5">
        <f>AVERAGE(All_India_Index_Upto_April23__1___1[[#This Row],[General index]])</f>
        <v>177.4</v>
      </c>
      <c r="P371" s="2">
        <f t="shared" si="65"/>
        <v>1602.8012820512822</v>
      </c>
      <c r="R371" s="10">
        <f t="shared" si="66"/>
        <v>11.123313749565064</v>
      </c>
      <c r="S371" s="10">
        <f t="shared" si="67"/>
        <v>12.696520914904594</v>
      </c>
      <c r="T371" s="10">
        <f t="shared" si="68"/>
        <v>10.972456076500677</v>
      </c>
      <c r="U371" s="10">
        <f t="shared" si="69"/>
        <v>11.361358518939195</v>
      </c>
      <c r="V371" s="10">
        <f t="shared" si="70"/>
        <v>10.95269900054792</v>
      </c>
      <c r="W371" s="10">
        <f t="shared" si="71"/>
        <v>9.9887616632738343</v>
      </c>
      <c r="X371" s="10">
        <f t="shared" si="72"/>
        <v>10.531561328923319</v>
      </c>
      <c r="Y371" s="10">
        <f t="shared" si="73"/>
        <v>10.868471466222998</v>
      </c>
      <c r="Z371" s="10">
        <f t="shared" si="74"/>
        <v>11.504857281122394</v>
      </c>
    </row>
    <row r="372" spans="1:26" x14ac:dyDescent="0.3">
      <c r="A372" s="6" t="s">
        <v>34</v>
      </c>
      <c r="B372" s="6">
        <v>2023</v>
      </c>
      <c r="C372" s="6" t="s">
        <v>38</v>
      </c>
      <c r="D372" s="21">
        <f t="shared" si="64"/>
        <v>45017</v>
      </c>
      <c r="E372" s="4">
        <f>AVERAGE(All_India_Index_Upto_April23__1___1[[#This Row],[Cereals and products]:[Food and beverages]])</f>
        <v>176.12307692307695</v>
      </c>
      <c r="F372" s="5">
        <f>AVERAGE(All_India_Index_Upto_April23__1___1[[#This Row],[Pan, tobacco and intoxicants]])</f>
        <v>200.6</v>
      </c>
      <c r="G372" s="4">
        <f>AVERAGE(All_India_Index_Upto_April23__1___1[[#This Row],[Clothing]:[Clothing and footwear]])</f>
        <v>183.93333333333331</v>
      </c>
      <c r="H372" s="5">
        <f>AVERAGE(All_India_Index_Upto_April23__1___1[[#This Row],[Housing]:[Fuel and light]])</f>
        <v>181.7</v>
      </c>
      <c r="I372" s="5">
        <f>AVERAGE(All_India_Index_Upto_April23__1___1[[#This Row],[Household goods and services]:[Health]])</f>
        <v>179.8</v>
      </c>
      <c r="J372" s="5">
        <f>AVERAGE(All_India_Index_Upto_April23__1___1[[#This Row],[Transport and communication]])</f>
        <v>164.5</v>
      </c>
      <c r="K372" s="5">
        <f>AVERAGE(All_India_Index_Upto_April23__1___1[[#This Row],[Recreation and amusement]])</f>
        <v>170.7</v>
      </c>
      <c r="L372" s="5">
        <f>AVERAGE(All_India_Index_Upto_April23__1___1[[#This Row],[Education]])</f>
        <v>176.4</v>
      </c>
      <c r="M372" s="5">
        <f>AVERAGE(All_India_Index_Upto_April23__1___1[[#This Row],[Personal care and effects]])</f>
        <v>184</v>
      </c>
      <c r="N372" s="5">
        <f>AVERAGE(All_India_Index_Upto_April23__1___1[[#This Row],[Miscellaneous]])</f>
        <v>175</v>
      </c>
      <c r="O372" s="5">
        <f>AVERAGE(All_India_Index_Upto_April23__1___1[[#This Row],[General index]])</f>
        <v>178.1</v>
      </c>
      <c r="P372" s="2">
        <f>AVERAGE(E372:N372)</f>
        <v>179.27564102564105</v>
      </c>
      <c r="R372" s="10">
        <f t="shared" si="66"/>
        <v>98.241498909428969</v>
      </c>
      <c r="S372" s="10">
        <f t="shared" si="67"/>
        <v>111.8947330782708</v>
      </c>
      <c r="T372" s="10">
        <f t="shared" si="68"/>
        <v>102.59806200164476</v>
      </c>
      <c r="U372" s="10">
        <f t="shared" si="69"/>
        <v>101.35230807737689</v>
      </c>
      <c r="V372" s="10">
        <f t="shared" si="70"/>
        <v>100.29248757464153</v>
      </c>
      <c r="W372" s="10">
        <f t="shared" si="71"/>
        <v>91.758143526298838</v>
      </c>
      <c r="X372" s="10">
        <f t="shared" si="72"/>
        <v>95.216505166803714</v>
      </c>
      <c r="Y372" s="10">
        <f t="shared" si="73"/>
        <v>98.395966675009831</v>
      </c>
      <c r="Z372" s="10">
        <f t="shared" si="74"/>
        <v>102.63524868595128</v>
      </c>
    </row>
    <row r="373" spans="1:26" hidden="1" x14ac:dyDescent="0.3">
      <c r="A373" s="5" t="s">
        <v>30</v>
      </c>
      <c r="B373" s="5">
        <v>2023</v>
      </c>
      <c r="C373" s="5" t="s">
        <v>40</v>
      </c>
      <c r="D373" s="21">
        <f t="shared" si="64"/>
        <v>45047</v>
      </c>
      <c r="E373" s="4">
        <f>AVERAGE(All_India_Index_Upto_April23__1___1[[#This Row],[Cereals and products]:[Food and beverages]])</f>
        <v>176.20769230769235</v>
      </c>
      <c r="F373" s="5">
        <f>AVERAGE(All_India_Index_Upto_April23__1___1[[#This Row],[Pan, tobacco and intoxicants]])</f>
        <v>199.9</v>
      </c>
      <c r="G373" s="4">
        <f>AVERAGE(All_India_Index_Upto_April23__1___1[[#This Row],[Clothing]:[Clothing and footwear]])</f>
        <v>189.9666666666667</v>
      </c>
      <c r="H373" s="5">
        <f>AVERAGE(All_India_Index_Upto_April23__1___1[[#This Row],[Housing]:[Fuel and light]])</f>
        <v>182.5</v>
      </c>
      <c r="I373" s="5">
        <f>AVERAGE(All_India_Index_Upto_April23__1___1[[#This Row],[Household goods and services]:[Health]])</f>
        <v>183.8</v>
      </c>
      <c r="J373" s="5">
        <f>AVERAGE(All_India_Index_Upto_April23__1___1[[#This Row],[Transport and communication]])</f>
        <v>169.7</v>
      </c>
      <c r="K373" s="5">
        <f>AVERAGE(All_India_Index_Upto_April23__1___1[[#This Row],[Recreation and amusement]])</f>
        <v>173.8</v>
      </c>
      <c r="L373" s="5">
        <f>AVERAGE(All_India_Index_Upto_April23__1___1[[#This Row],[Education]])</f>
        <v>180.3</v>
      </c>
      <c r="M373" s="5">
        <f>AVERAGE(All_India_Index_Upto_April23__1___1[[#This Row],[Personal care and effects]])</f>
        <v>184.9</v>
      </c>
      <c r="N373" s="5">
        <f>AVERAGE(All_India_Index_Upto_April23__1___1[[#This Row],[Miscellaneous]])</f>
        <v>179.5</v>
      </c>
      <c r="O373" s="5">
        <f>AVERAGE(All_India_Index_Upto_April23__1___1[[#This Row],[General index]])</f>
        <v>179.8</v>
      </c>
      <c r="P373" s="2">
        <f t="shared" si="65"/>
        <v>1641.074358974359</v>
      </c>
      <c r="R373" s="10">
        <f t="shared" si="66"/>
        <v>10.737337485293407</v>
      </c>
      <c r="S373" s="10">
        <f t="shared" si="67"/>
        <v>12.181044625237689</v>
      </c>
      <c r="T373" s="10">
        <f t="shared" si="68"/>
        <v>11.575750094919059</v>
      </c>
      <c r="U373" s="10">
        <f t="shared" si="69"/>
        <v>11.120763602330555</v>
      </c>
      <c r="V373" s="10">
        <f t="shared" si="70"/>
        <v>11.199980000593733</v>
      </c>
      <c r="W373" s="10">
        <f t="shared" si="71"/>
        <v>10.340786757893124</v>
      </c>
      <c r="X373" s="10">
        <f t="shared" si="72"/>
        <v>10.59062309087699</v>
      </c>
      <c r="Y373" s="10">
        <f t="shared" si="73"/>
        <v>10.986705082192874</v>
      </c>
      <c r="Z373" s="10">
        <f t="shared" si="74"/>
        <v>11.267009260662574</v>
      </c>
    </row>
    <row r="374" spans="1:26" hidden="1" x14ac:dyDescent="0.3">
      <c r="A374" s="6" t="s">
        <v>32</v>
      </c>
      <c r="B374" s="6">
        <v>2023</v>
      </c>
      <c r="C374" s="6" t="s">
        <v>40</v>
      </c>
      <c r="D374" s="21">
        <f t="shared" si="64"/>
        <v>45047</v>
      </c>
      <c r="E374" s="4">
        <f>AVERAGE(All_India_Index_Upto_April23__1___1[[#This Row],[Cereals and products]:[Food and beverages]])</f>
        <v>179.62307692307692</v>
      </c>
      <c r="F374" s="5">
        <f>AVERAGE(All_India_Index_Upto_April23__1___1[[#This Row],[Pan, tobacco and intoxicants]])</f>
        <v>204.2</v>
      </c>
      <c r="G374" s="4">
        <f>AVERAGE(All_India_Index_Upto_April23__1___1[[#This Row],[Clothing]:[Clothing and footwear]])</f>
        <v>176.23333333333335</v>
      </c>
      <c r="H374" s="5">
        <f>AVERAGE(All_India_Index_Upto_April23__1___1[[#This Row],[Housing]:[Fuel and light]])</f>
        <v>183.4</v>
      </c>
      <c r="I374" s="5">
        <f>AVERAGE(All_India_Index_Upto_April23__1___1[[#This Row],[Household goods and services]:[Health]])</f>
        <v>176.14999999999998</v>
      </c>
      <c r="J374" s="5">
        <f>AVERAGE(All_India_Index_Upto_April23__1___1[[#This Row],[Transport and communication]])</f>
        <v>160.4</v>
      </c>
      <c r="K374" s="5">
        <f>AVERAGE(All_India_Index_Upto_April23__1___1[[#This Row],[Recreation and amusement]])</f>
        <v>169.2</v>
      </c>
      <c r="L374" s="5">
        <f>AVERAGE(All_India_Index_Upto_April23__1___1[[#This Row],[Education]])</f>
        <v>174.8</v>
      </c>
      <c r="M374" s="5">
        <f>AVERAGE(All_India_Index_Upto_April23__1___1[[#This Row],[Personal care and effects]])</f>
        <v>185.6</v>
      </c>
      <c r="N374" s="5">
        <f>AVERAGE(All_India_Index_Upto_April23__1___1[[#This Row],[Miscellaneous]])</f>
        <v>171.6</v>
      </c>
      <c r="O374" s="5">
        <f>AVERAGE(All_India_Index_Upto_April23__1___1[[#This Row],[General index]])</f>
        <v>178.2</v>
      </c>
      <c r="P374" s="2">
        <f t="shared" si="65"/>
        <v>1609.6064102564101</v>
      </c>
      <c r="R374" s="10">
        <f t="shared" si="66"/>
        <v>11.159440952677555</v>
      </c>
      <c r="S374" s="10">
        <f t="shared" si="67"/>
        <v>12.686331186235208</v>
      </c>
      <c r="T374" s="10">
        <f t="shared" si="68"/>
        <v>10.948846389426308</v>
      </c>
      <c r="U374" s="10">
        <f t="shared" si="69"/>
        <v>11.39408981173133</v>
      </c>
      <c r="V374" s="10">
        <f t="shared" si="70"/>
        <v>10.943669140329733</v>
      </c>
      <c r="W374" s="10">
        <f t="shared" si="71"/>
        <v>9.965169061077999</v>
      </c>
      <c r="X374" s="10">
        <f t="shared" si="72"/>
        <v>10.511886565675795</v>
      </c>
      <c r="Y374" s="10">
        <f t="shared" si="73"/>
        <v>10.859797704965303</v>
      </c>
      <c r="Z374" s="10">
        <f t="shared" si="74"/>
        <v>11.530769187880779</v>
      </c>
    </row>
    <row r="375" spans="1:26" x14ac:dyDescent="0.3">
      <c r="A375" s="5" t="s">
        <v>34</v>
      </c>
      <c r="B375" s="5">
        <v>2023</v>
      </c>
      <c r="C375" s="5" t="s">
        <v>40</v>
      </c>
      <c r="D375" s="21">
        <f t="shared" si="64"/>
        <v>45047</v>
      </c>
      <c r="E375" s="4">
        <f>AVERAGE(All_India_Index_Upto_April23__1___1[[#This Row],[Cereals and products]:[Food and beverages]])</f>
        <v>177.45384615384617</v>
      </c>
      <c r="F375" s="5">
        <f>AVERAGE(All_India_Index_Upto_April23__1___1[[#This Row],[Pan, tobacco and intoxicants]])</f>
        <v>201</v>
      </c>
      <c r="G375" s="4">
        <f>AVERAGE(All_India_Index_Upto_April23__1___1[[#This Row],[Clothing]:[Clothing and footwear]])</f>
        <v>184.4</v>
      </c>
      <c r="H375" s="5">
        <f>AVERAGE(All_India_Index_Upto_April23__1___1[[#This Row],[Housing]:[Fuel and light]])</f>
        <v>182.8</v>
      </c>
      <c r="I375" s="5">
        <f>AVERAGE(All_India_Index_Upto_April23__1___1[[#This Row],[Household goods and services]:[Health]])</f>
        <v>180.45</v>
      </c>
      <c r="J375" s="5">
        <f>AVERAGE(All_India_Index_Upto_April23__1___1[[#This Row],[Transport and communication]])</f>
        <v>164.8</v>
      </c>
      <c r="K375" s="5">
        <f>AVERAGE(All_India_Index_Upto_April23__1___1[[#This Row],[Recreation and amusement]])</f>
        <v>171.2</v>
      </c>
      <c r="L375" s="5">
        <f>AVERAGE(All_India_Index_Upto_April23__1___1[[#This Row],[Education]])</f>
        <v>177.1</v>
      </c>
      <c r="M375" s="5">
        <f>AVERAGE(All_India_Index_Upto_April23__1___1[[#This Row],[Personal care and effects]])</f>
        <v>185.2</v>
      </c>
      <c r="N375" s="5">
        <f>AVERAGE(All_India_Index_Upto_April23__1___1[[#This Row],[Miscellaneous]])</f>
        <v>175.7</v>
      </c>
      <c r="O375" s="5">
        <f>AVERAGE(All_India_Index_Upto_April23__1___1[[#This Row],[General index]])</f>
        <v>179.1</v>
      </c>
      <c r="P375" s="2">
        <f>AVERAGE(E375:N375)</f>
        <v>180.01038461538462</v>
      </c>
      <c r="R375" s="10">
        <f t="shared" si="66"/>
        <v>98.57978279030911</v>
      </c>
      <c r="S375" s="10">
        <f t="shared" si="67"/>
        <v>111.66022473062452</v>
      </c>
      <c r="T375" s="10">
        <f t="shared" si="68"/>
        <v>102.43853452899086</v>
      </c>
      <c r="U375" s="10">
        <f t="shared" si="69"/>
        <v>101.54969691919484</v>
      </c>
      <c r="V375" s="10">
        <f t="shared" si="70"/>
        <v>100.24421667980693</v>
      </c>
      <c r="W375" s="10">
        <f t="shared" si="71"/>
        <v>91.550273808989658</v>
      </c>
      <c r="X375" s="10">
        <f t="shared" si="72"/>
        <v>95.105624248173697</v>
      </c>
      <c r="Y375" s="10">
        <f t="shared" si="73"/>
        <v>98.383212934296509</v>
      </c>
      <c r="Z375" s="10">
        <f t="shared" si="74"/>
        <v>102.88295333388884</v>
      </c>
    </row>
    <row r="380" spans="1:26" x14ac:dyDescent="0.3">
      <c r="C380" s="12"/>
      <c r="D380" s="12"/>
      <c r="F380" s="12"/>
    </row>
  </sheetData>
  <autoFilter ref="A3:P375" xr:uid="{A957659A-67F0-4DE8-8745-B2873D287247}">
    <filterColumn colId="0">
      <filters>
        <filter val="Rural+Urban"/>
      </filters>
    </filterColumn>
    <filterColumn colId="3">
      <filters>
        <dateGroupItem year="2023" dateTimeGrouping="year"/>
        <dateGroupItem year="2022" dateTimeGrouping="year"/>
        <dateGroupItem year="2021" dateTimeGrouping="year"/>
      </filters>
    </filterColumn>
  </autoFilter>
  <mergeCells count="2">
    <mergeCell ref="A1:P2"/>
    <mergeCell ref="R1:Z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21476-C651-41B7-9174-0E727B74FAC1}">
  <dimension ref="A1:Z9"/>
  <sheetViews>
    <sheetView topLeftCell="A16" workbookViewId="0">
      <selection activeCell="R34" sqref="R34"/>
    </sheetView>
  </sheetViews>
  <sheetFormatPr defaultRowHeight="14.4" x14ac:dyDescent="0.3"/>
  <cols>
    <col min="1" max="1" width="13" customWidth="1"/>
    <col min="5" max="5" width="12" bestFit="1" customWidth="1"/>
    <col min="6" max="6" width="8.109375" bestFit="1" customWidth="1"/>
    <col min="7" max="7" width="12" bestFit="1" customWidth="1"/>
    <col min="8" max="8" width="8.109375" bestFit="1" customWidth="1"/>
    <col min="9" max="9" width="18.5546875" bestFit="1" customWidth="1"/>
    <col min="10" max="10" width="9.44140625" bestFit="1" customWidth="1"/>
    <col min="11" max="11" width="10.5546875" bestFit="1" customWidth="1"/>
    <col min="12" max="12" width="9.6640625" bestFit="1" customWidth="1"/>
    <col min="13" max="13" width="13.33203125" bestFit="1" customWidth="1"/>
    <col min="14" max="14" width="13.88671875" bestFit="1" customWidth="1"/>
    <col min="15" max="15" width="13.5546875" bestFit="1" customWidth="1"/>
    <col min="16" max="16" width="12" bestFit="1" customWidth="1"/>
    <col min="18" max="21" width="12" bestFit="1" customWidth="1"/>
    <col min="22" max="22" width="18.5546875" bestFit="1" customWidth="1"/>
    <col min="23" max="25" width="12" bestFit="1" customWidth="1"/>
    <col min="26" max="26" width="13.33203125" bestFit="1" customWidth="1"/>
  </cols>
  <sheetData>
    <row r="1" spans="1:26" x14ac:dyDescent="0.3">
      <c r="A1" s="27" t="s">
        <v>0</v>
      </c>
      <c r="B1" s="27" t="s">
        <v>1</v>
      </c>
      <c r="C1" s="27" t="s">
        <v>2</v>
      </c>
      <c r="D1" s="27"/>
      <c r="E1" s="27" t="s">
        <v>164</v>
      </c>
      <c r="F1" s="27" t="s">
        <v>171</v>
      </c>
      <c r="G1" s="27" t="s">
        <v>18</v>
      </c>
      <c r="H1" s="27" t="s">
        <v>20</v>
      </c>
      <c r="I1" s="27" t="s">
        <v>169</v>
      </c>
      <c r="J1" s="27" t="s">
        <v>166</v>
      </c>
      <c r="K1" s="27" t="s">
        <v>170</v>
      </c>
      <c r="L1" s="27" t="s">
        <v>26</v>
      </c>
      <c r="M1" s="27" t="s">
        <v>172</v>
      </c>
      <c r="N1" s="27" t="s">
        <v>28</v>
      </c>
      <c r="O1" s="27" t="s">
        <v>173</v>
      </c>
      <c r="P1" s="27" t="s">
        <v>174</v>
      </c>
      <c r="R1" s="27" t="s">
        <v>164</v>
      </c>
      <c r="S1" s="27" t="s">
        <v>171</v>
      </c>
      <c r="T1" s="27" t="s">
        <v>18</v>
      </c>
      <c r="U1" s="27" t="s">
        <v>20</v>
      </c>
      <c r="V1" s="27" t="s">
        <v>169</v>
      </c>
      <c r="W1" s="27" t="s">
        <v>166</v>
      </c>
      <c r="X1" s="27" t="s">
        <v>170</v>
      </c>
      <c r="Y1" s="27" t="s">
        <v>26</v>
      </c>
      <c r="Z1" s="27" t="s">
        <v>172</v>
      </c>
    </row>
    <row r="2" spans="1:26" x14ac:dyDescent="0.3">
      <c r="A2" s="23" t="s">
        <v>34</v>
      </c>
      <c r="B2" s="1">
        <v>2023</v>
      </c>
      <c r="C2" s="1" t="s">
        <v>40</v>
      </c>
      <c r="D2" s="1">
        <v>45047</v>
      </c>
      <c r="E2" s="1">
        <v>177.45384615384617</v>
      </c>
      <c r="F2" s="1">
        <v>201</v>
      </c>
      <c r="G2" s="1">
        <v>184.4</v>
      </c>
      <c r="H2" s="1">
        <v>182.8</v>
      </c>
      <c r="I2" s="1">
        <v>180.45</v>
      </c>
      <c r="J2" s="1">
        <v>164.8</v>
      </c>
      <c r="K2" s="1">
        <v>171.2</v>
      </c>
      <c r="L2" s="1">
        <v>177.1</v>
      </c>
      <c r="M2" s="1">
        <v>185.2</v>
      </c>
      <c r="N2" s="1">
        <v>175.7</v>
      </c>
      <c r="O2" s="1">
        <v>179.1</v>
      </c>
      <c r="P2" s="1">
        <f>SUM(E2:N2)</f>
        <v>1800.1038461538462</v>
      </c>
      <c r="R2" s="32">
        <f>E2/$P$2</f>
        <v>9.8579782790309115E-2</v>
      </c>
      <c r="S2" s="32">
        <f t="shared" ref="S2:Z2" si="0">F2/$P$2</f>
        <v>0.11166022473062451</v>
      </c>
      <c r="T2" s="32">
        <f t="shared" si="0"/>
        <v>0.10243853452899085</v>
      </c>
      <c r="U2" s="32">
        <f t="shared" si="0"/>
        <v>0.10154969691919484</v>
      </c>
      <c r="V2" s="32">
        <f t="shared" si="0"/>
        <v>0.10024421667980693</v>
      </c>
      <c r="W2" s="32">
        <f t="shared" si="0"/>
        <v>9.1550273808989655E-2</v>
      </c>
      <c r="X2" s="32">
        <f t="shared" si="0"/>
        <v>9.5105624248173704E-2</v>
      </c>
      <c r="Y2" s="32">
        <f t="shared" si="0"/>
        <v>9.8383212934296513E-2</v>
      </c>
      <c r="Z2" s="32">
        <f t="shared" si="0"/>
        <v>0.10288295333388885</v>
      </c>
    </row>
    <row r="5" spans="1:26" x14ac:dyDescent="0.3">
      <c r="A5" s="27" t="s">
        <v>0</v>
      </c>
      <c r="B5" s="27" t="s">
        <v>1</v>
      </c>
      <c r="C5" s="27" t="s">
        <v>2</v>
      </c>
      <c r="D5" s="27"/>
      <c r="E5" s="27" t="s">
        <v>164</v>
      </c>
      <c r="F5" s="27" t="s">
        <v>171</v>
      </c>
      <c r="G5" s="27" t="s">
        <v>18</v>
      </c>
      <c r="H5" s="27" t="s">
        <v>20</v>
      </c>
      <c r="I5" s="27" t="s">
        <v>169</v>
      </c>
      <c r="J5" s="27" t="s">
        <v>166</v>
      </c>
      <c r="K5" s="27" t="s">
        <v>170</v>
      </c>
      <c r="L5" s="27" t="s">
        <v>26</v>
      </c>
      <c r="M5" s="27" t="s">
        <v>172</v>
      </c>
      <c r="N5" s="27" t="s">
        <v>28</v>
      </c>
      <c r="O5" s="27" t="s">
        <v>173</v>
      </c>
      <c r="P5" s="27" t="s">
        <v>174</v>
      </c>
      <c r="R5" s="27" t="s">
        <v>164</v>
      </c>
      <c r="S5" s="27" t="s">
        <v>171</v>
      </c>
      <c r="T5" s="27" t="s">
        <v>18</v>
      </c>
      <c r="U5" s="27" t="s">
        <v>20</v>
      </c>
      <c r="V5" s="27" t="s">
        <v>169</v>
      </c>
      <c r="W5" s="27" t="s">
        <v>166</v>
      </c>
      <c r="X5" s="27" t="s">
        <v>170</v>
      </c>
      <c r="Y5" s="27" t="s">
        <v>26</v>
      </c>
      <c r="Z5" s="27" t="s">
        <v>172</v>
      </c>
    </row>
    <row r="6" spans="1:26" x14ac:dyDescent="0.3">
      <c r="A6" s="28" t="s">
        <v>30</v>
      </c>
      <c r="B6" s="1">
        <v>2023</v>
      </c>
      <c r="C6" s="1" t="s">
        <v>40</v>
      </c>
      <c r="D6" s="1"/>
      <c r="E6" s="1">
        <v>176.20769230769235</v>
      </c>
      <c r="F6" s="1">
        <v>199.9</v>
      </c>
      <c r="G6" s="1">
        <v>189.9666666666667</v>
      </c>
      <c r="H6" s="1">
        <v>182.5</v>
      </c>
      <c r="I6" s="1">
        <v>183.8</v>
      </c>
      <c r="J6" s="1">
        <v>169.7</v>
      </c>
      <c r="K6" s="1">
        <v>173.8</v>
      </c>
      <c r="L6" s="1">
        <v>180.3</v>
      </c>
      <c r="M6" s="1">
        <v>184.9</v>
      </c>
      <c r="N6" s="1">
        <v>179.5</v>
      </c>
      <c r="O6" s="1">
        <v>179.8</v>
      </c>
      <c r="P6" s="1">
        <f>SUM(E6:N6)</f>
        <v>1820.574358974359</v>
      </c>
      <c r="R6" s="32">
        <f>E6/$P$6</f>
        <v>9.6786869176253218E-2</v>
      </c>
      <c r="S6" s="32">
        <f t="shared" ref="S6:Z6" si="1">F6/$P$6</f>
        <v>0.1098005137854495</v>
      </c>
      <c r="T6" s="32">
        <f t="shared" si="1"/>
        <v>0.10434436019064146</v>
      </c>
      <c r="U6" s="32">
        <f t="shared" si="1"/>
        <v>0.10024309037440987</v>
      </c>
      <c r="V6" s="32">
        <f t="shared" si="1"/>
        <v>0.1009571507442002</v>
      </c>
      <c r="W6" s="32">
        <f t="shared" si="1"/>
        <v>9.3212342118012909E-2</v>
      </c>
      <c r="X6" s="32">
        <f t="shared" si="1"/>
        <v>9.5464378668890071E-2</v>
      </c>
      <c r="Y6" s="32">
        <f t="shared" si="1"/>
        <v>9.9034680517841658E-2</v>
      </c>
      <c r="Z6" s="32">
        <f t="shared" si="1"/>
        <v>0.10156135567248431</v>
      </c>
    </row>
    <row r="8" spans="1:26" x14ac:dyDescent="0.3">
      <c r="A8" s="27" t="s">
        <v>0</v>
      </c>
      <c r="B8" s="27" t="s">
        <v>1</v>
      </c>
      <c r="C8" s="27" t="s">
        <v>2</v>
      </c>
      <c r="D8" s="27"/>
      <c r="E8" s="27" t="s">
        <v>164</v>
      </c>
      <c r="F8" s="27" t="s">
        <v>171</v>
      </c>
      <c r="G8" s="27" t="s">
        <v>18</v>
      </c>
      <c r="H8" s="27" t="s">
        <v>20</v>
      </c>
      <c r="I8" s="27" t="s">
        <v>169</v>
      </c>
      <c r="J8" s="27" t="s">
        <v>166</v>
      </c>
      <c r="K8" s="27" t="s">
        <v>170</v>
      </c>
      <c r="L8" s="27" t="s">
        <v>26</v>
      </c>
      <c r="M8" s="27" t="s">
        <v>172</v>
      </c>
      <c r="N8" s="27" t="s">
        <v>28</v>
      </c>
      <c r="O8" s="27" t="s">
        <v>173</v>
      </c>
      <c r="P8" s="27" t="s">
        <v>174</v>
      </c>
      <c r="R8" s="27" t="s">
        <v>164</v>
      </c>
      <c r="S8" s="27" t="s">
        <v>171</v>
      </c>
      <c r="T8" s="27" t="s">
        <v>18</v>
      </c>
      <c r="U8" s="27" t="s">
        <v>20</v>
      </c>
      <c r="V8" s="27" t="s">
        <v>169</v>
      </c>
      <c r="W8" s="27" t="s">
        <v>166</v>
      </c>
      <c r="X8" s="27" t="s">
        <v>170</v>
      </c>
      <c r="Y8" s="27" t="s">
        <v>26</v>
      </c>
      <c r="Z8" s="27" t="s">
        <v>172</v>
      </c>
    </row>
    <row r="9" spans="1:26" x14ac:dyDescent="0.3">
      <c r="A9" s="29" t="s">
        <v>32</v>
      </c>
      <c r="B9" s="1">
        <v>2023</v>
      </c>
      <c r="C9" s="1" t="s">
        <v>40</v>
      </c>
      <c r="D9" s="1"/>
      <c r="E9" s="1">
        <v>179.62307692307692</v>
      </c>
      <c r="F9" s="1">
        <v>204.2</v>
      </c>
      <c r="G9" s="1">
        <v>176.23333333333335</v>
      </c>
      <c r="H9" s="1">
        <v>183.4</v>
      </c>
      <c r="I9" s="1">
        <v>176.14999999999998</v>
      </c>
      <c r="J9" s="1">
        <v>160.4</v>
      </c>
      <c r="K9" s="1">
        <v>169.2</v>
      </c>
      <c r="L9" s="1">
        <v>174.8</v>
      </c>
      <c r="M9" s="1">
        <v>185.6</v>
      </c>
      <c r="N9" s="1">
        <v>171.6</v>
      </c>
      <c r="O9" s="1">
        <v>178.2</v>
      </c>
      <c r="P9" s="1">
        <f>SUM(E9:N9)</f>
        <v>1781.20641025641</v>
      </c>
      <c r="R9" s="32">
        <f>E9/$P$9</f>
        <v>0.10084349342601998</v>
      </c>
      <c r="S9" s="32">
        <f t="shared" ref="S9:Z9" si="2">F9/$P$9</f>
        <v>0.11464140193084349</v>
      </c>
      <c r="T9" s="32">
        <f t="shared" si="2"/>
        <v>9.8940432910279069E-2</v>
      </c>
      <c r="U9" s="32">
        <f t="shared" si="2"/>
        <v>0.10296392318372526</v>
      </c>
      <c r="V9" s="32">
        <f t="shared" si="2"/>
        <v>9.8893648139657578E-2</v>
      </c>
      <c r="W9" s="32">
        <f t="shared" si="2"/>
        <v>9.0051326492200282E-2</v>
      </c>
      <c r="X9" s="32">
        <f t="shared" si="2"/>
        <v>9.4991798269827218E-2</v>
      </c>
      <c r="Y9" s="32">
        <f t="shared" si="2"/>
        <v>9.8135734855589823E-2</v>
      </c>
      <c r="Z9" s="32">
        <f t="shared" si="2"/>
        <v>0.10419904112813198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79D04-F746-4D9A-8C08-7767783A6E0D}">
  <dimension ref="A1:G23"/>
  <sheetViews>
    <sheetView zoomScale="120" zoomScaleNormal="120" workbookViewId="0">
      <selection activeCell="C17" sqref="C17"/>
    </sheetView>
  </sheetViews>
  <sheetFormatPr defaultRowHeight="14.4" x14ac:dyDescent="0.3"/>
  <cols>
    <col min="1" max="1" width="13.109375" bestFit="1" customWidth="1"/>
    <col min="2" max="2" width="24" bestFit="1" customWidth="1"/>
    <col min="3" max="3" width="20.33203125" style="11" bestFit="1" customWidth="1"/>
    <col min="5" max="5" width="121.88671875" bestFit="1" customWidth="1"/>
    <col min="6" max="6" width="23.88671875" bestFit="1" customWidth="1"/>
    <col min="7" max="7" width="20.33203125" bestFit="1" customWidth="1"/>
  </cols>
  <sheetData>
    <row r="1" spans="1:7" x14ac:dyDescent="0.3">
      <c r="A1" s="13" t="s">
        <v>177</v>
      </c>
      <c r="B1" t="s">
        <v>179</v>
      </c>
      <c r="C1" s="11" t="s">
        <v>180</v>
      </c>
    </row>
    <row r="2" spans="1:7" x14ac:dyDescent="0.3">
      <c r="A2" s="14">
        <v>2017</v>
      </c>
      <c r="B2" s="15">
        <v>133.38611111111112</v>
      </c>
      <c r="C2" s="16"/>
      <c r="F2" s="15"/>
    </row>
    <row r="3" spans="1:7" x14ac:dyDescent="0.3">
      <c r="A3" s="14">
        <v>2018</v>
      </c>
      <c r="B3" s="15">
        <v>138.66944444444442</v>
      </c>
      <c r="C3" s="16">
        <f>(GETPIVOTDATA("General index",$A$1,"Year",2018)-GETPIVOTDATA("General index",$A$1,"Year",2017))/GETPIVOTDATA("General index",$A$1,"Year",2017)</f>
        <v>3.9609321310314437E-2</v>
      </c>
      <c r="F3" s="15"/>
      <c r="G3" s="16"/>
    </row>
    <row r="4" spans="1:7" x14ac:dyDescent="0.3">
      <c r="A4" s="14">
        <v>2019</v>
      </c>
      <c r="B4" s="15">
        <v>144.1272727272727</v>
      </c>
      <c r="C4" s="16">
        <f>(GETPIVOTDATA("General index",$A$1,"Year",2019)-GETPIVOTDATA("General index",$A$1,"Year",2018))/GETPIVOTDATA("General index",$A$1,"Year",2018)</f>
        <v>3.9358550145593613E-2</v>
      </c>
      <c r="F4" s="15"/>
      <c r="G4" s="16"/>
    </row>
    <row r="5" spans="1:7" x14ac:dyDescent="0.3">
      <c r="A5" s="14">
        <v>2020</v>
      </c>
      <c r="B5" s="15">
        <v>150.65833333333336</v>
      </c>
      <c r="C5" s="16">
        <f>(GETPIVOTDATA("General index",$A$1,"Year",2020)-GETPIVOTDATA("General index",$A$1,"Year",2019))/GETPIVOTDATA("General index",$A$1,"Year",2019)</f>
        <v>4.5314536815104903E-2</v>
      </c>
      <c r="F5" s="15"/>
      <c r="G5" s="16"/>
    </row>
    <row r="6" spans="1:7" x14ac:dyDescent="0.3">
      <c r="A6" s="14">
        <v>2021</v>
      </c>
      <c r="B6" s="15">
        <v>161.41666666666666</v>
      </c>
      <c r="C6" s="16">
        <f>(GETPIVOTDATA("General index",$A$1,"Year",2021)-GETPIVOTDATA("General index",$A$1,"Year",2020))/GETPIVOTDATA("General index",$A$1,"Year",2020)</f>
        <v>7.1408816859339308E-2</v>
      </c>
      <c r="F6" s="15"/>
      <c r="G6" s="16"/>
    </row>
    <row r="7" spans="1:7" x14ac:dyDescent="0.3">
      <c r="A7" s="14">
        <v>2022</v>
      </c>
      <c r="B7" s="15">
        <v>172.07500000000002</v>
      </c>
      <c r="C7" s="16">
        <f>(GETPIVOTDATA("General index",$A$1,"Year",2022)-GETPIVOTDATA("General index",$A$1,"Year",2021))/GETPIVOTDATA("General index",$A$1,"Year",2021)</f>
        <v>6.6029943211151437E-2</v>
      </c>
      <c r="F7" s="15"/>
      <c r="G7" s="16"/>
    </row>
    <row r="8" spans="1:7" x14ac:dyDescent="0.3">
      <c r="A8" s="14">
        <v>2023</v>
      </c>
      <c r="B8" s="15">
        <v>177.57333333333332</v>
      </c>
      <c r="C8" s="16">
        <f>(GETPIVOTDATA("General index",$A$1,"Year",2023)-GETPIVOTDATA("General index",$A$1,"Year",2022))/GETPIVOTDATA("General index",$A$1,"Year",2022)</f>
        <v>3.195312121652364E-2</v>
      </c>
      <c r="F8" s="15"/>
      <c r="G8" s="16"/>
    </row>
    <row r="9" spans="1:7" x14ac:dyDescent="0.3">
      <c r="A9" s="14" t="s">
        <v>178</v>
      </c>
      <c r="B9" s="15">
        <v>151.94385964912277</v>
      </c>
      <c r="C9" s="16"/>
    </row>
    <row r="10" spans="1:7" x14ac:dyDescent="0.3">
      <c r="C10" s="16"/>
    </row>
    <row r="11" spans="1:7" x14ac:dyDescent="0.3">
      <c r="A11" s="1" t="s">
        <v>177</v>
      </c>
      <c r="B11" s="19" t="s">
        <v>180</v>
      </c>
      <c r="C11" s="16"/>
    </row>
    <row r="12" spans="1:7" x14ac:dyDescent="0.3">
      <c r="A12" s="1">
        <v>2017</v>
      </c>
      <c r="B12" s="20"/>
      <c r="C12" s="16"/>
    </row>
    <row r="13" spans="1:7" x14ac:dyDescent="0.3">
      <c r="A13" s="1">
        <v>2018</v>
      </c>
      <c r="B13" s="20">
        <f>(GETPIVOTDATA("General index",$A$1,"Year",2018)-GETPIVOTDATA("General index",$A$1,"Year",2017))/GETPIVOTDATA("General index",$A$1,"Year",2017)</f>
        <v>3.9609321310314437E-2</v>
      </c>
      <c r="C13" s="16"/>
    </row>
    <row r="14" spans="1:7" x14ac:dyDescent="0.3">
      <c r="A14" s="1">
        <v>2019</v>
      </c>
      <c r="B14" s="20">
        <f>(GETPIVOTDATA("General index",$A$1,"Year",2019)-GETPIVOTDATA("General index",$A$1,"Year",2018))/GETPIVOTDATA("General index",$A$1,"Year",2018)</f>
        <v>3.9358550145593613E-2</v>
      </c>
    </row>
    <row r="15" spans="1:7" x14ac:dyDescent="0.3">
      <c r="A15" s="1">
        <v>2020</v>
      </c>
      <c r="B15" s="20">
        <f>(GETPIVOTDATA("General index",$A$1,"Year",2020)-GETPIVOTDATA("General index",$A$1,"Year",2019))/GETPIVOTDATA("General index",$A$1,"Year",2019)</f>
        <v>4.5314536815104903E-2</v>
      </c>
    </row>
    <row r="16" spans="1:7" x14ac:dyDescent="0.3">
      <c r="A16" s="1">
        <v>2021</v>
      </c>
      <c r="B16" s="20">
        <f>(GETPIVOTDATA("General index",$A$1,"Year",2021)-GETPIVOTDATA("General index",$A$1,"Year",2020))/GETPIVOTDATA("General index",$A$1,"Year",2020)</f>
        <v>7.1408816859339308E-2</v>
      </c>
    </row>
    <row r="17" spans="1:5" x14ac:dyDescent="0.3">
      <c r="A17" s="1">
        <v>2022</v>
      </c>
      <c r="B17" s="20">
        <f>(GETPIVOTDATA("General index",$A$1,"Year",2022)-GETPIVOTDATA("General index",$A$1,"Year",2021))/GETPIVOTDATA("General index",$A$1,"Year",2021)</f>
        <v>6.6029943211151437E-2</v>
      </c>
    </row>
    <row r="18" spans="1:5" x14ac:dyDescent="0.3">
      <c r="A18" s="1">
        <v>2023</v>
      </c>
      <c r="B18" s="20">
        <f>(GETPIVOTDATA("General index",$A$1,"Year",2023)-GETPIVOTDATA("General index",$A$1,"Year",2022))/GETPIVOTDATA("General index",$A$1,"Year",2022)</f>
        <v>3.195312121652364E-2</v>
      </c>
    </row>
    <row r="20" spans="1:5" x14ac:dyDescent="0.3">
      <c r="E20" s="17" t="s">
        <v>183</v>
      </c>
    </row>
    <row r="21" spans="1:5" x14ac:dyDescent="0.3">
      <c r="E21" s="25" t="s">
        <v>198</v>
      </c>
    </row>
    <row r="22" spans="1:5" x14ac:dyDescent="0.3">
      <c r="E22" s="25" t="s">
        <v>181</v>
      </c>
    </row>
    <row r="23" spans="1:5" x14ac:dyDescent="0.3">
      <c r="E23" s="25" t="s">
        <v>182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58BD3-D20A-4F4D-8B81-1073655CAA8A}">
  <dimension ref="A1:P40"/>
  <sheetViews>
    <sheetView workbookViewId="0">
      <selection activeCell="D25" sqref="D25"/>
    </sheetView>
  </sheetViews>
  <sheetFormatPr defaultRowHeight="14.4" x14ac:dyDescent="0.3"/>
  <cols>
    <col min="1" max="1" width="11.88671875" bestFit="1" customWidth="1"/>
    <col min="2" max="2" width="12.6640625" bestFit="1" customWidth="1"/>
    <col min="3" max="3" width="15.88671875" bestFit="1" customWidth="1"/>
    <col min="4" max="4" width="19.6640625" bestFit="1" customWidth="1"/>
    <col min="5" max="5" width="13.109375" bestFit="1" customWidth="1"/>
    <col min="6" max="6" width="6" bestFit="1" customWidth="1"/>
    <col min="7" max="7" width="16.88671875" bestFit="1" customWidth="1"/>
    <col min="8" max="8" width="11.88671875" bestFit="1" customWidth="1"/>
    <col min="9" max="9" width="6" bestFit="1" customWidth="1"/>
    <col min="10" max="10" width="11" bestFit="1" customWidth="1"/>
    <col min="11" max="11" width="18.88671875" bestFit="1" customWidth="1"/>
    <col min="12" max="12" width="23" bestFit="1" customWidth="1"/>
    <col min="13" max="13" width="6.5546875" bestFit="1" customWidth="1"/>
    <col min="14" max="14" width="23.33203125" bestFit="1" customWidth="1"/>
    <col min="15" max="15" width="33.33203125" bestFit="1" customWidth="1"/>
    <col min="16" max="16" width="19" bestFit="1" customWidth="1"/>
  </cols>
  <sheetData>
    <row r="1" spans="1:8" x14ac:dyDescent="0.3">
      <c r="A1" s="8" t="s">
        <v>0</v>
      </c>
      <c r="B1" s="8" t="s">
        <v>1</v>
      </c>
      <c r="C1" s="8" t="s">
        <v>2</v>
      </c>
      <c r="D1" s="8"/>
      <c r="E1" s="8" t="s">
        <v>164</v>
      </c>
    </row>
    <row r="2" spans="1:8" x14ac:dyDescent="0.3">
      <c r="A2" s="6" t="s">
        <v>34</v>
      </c>
      <c r="B2" s="6">
        <v>2022</v>
      </c>
      <c r="C2" s="6" t="s">
        <v>41</v>
      </c>
      <c r="D2" s="21">
        <v>44713</v>
      </c>
      <c r="E2" s="4">
        <v>173.99230769230769</v>
      </c>
    </row>
    <row r="3" spans="1:8" x14ac:dyDescent="0.3">
      <c r="A3" s="5" t="s">
        <v>34</v>
      </c>
      <c r="B3" s="5">
        <v>2022</v>
      </c>
      <c r="C3" s="5" t="s">
        <v>43</v>
      </c>
      <c r="D3" s="21">
        <v>44743</v>
      </c>
      <c r="E3" s="4">
        <v>174.33076923076925</v>
      </c>
      <c r="F3" s="22">
        <f>E3-E2</f>
        <v>0.33846153846155858</v>
      </c>
      <c r="G3" s="18">
        <f>F3/E2</f>
        <v>1.9452672531943328E-3</v>
      </c>
      <c r="H3">
        <f>G3*100</f>
        <v>0.19452672531943327</v>
      </c>
    </row>
    <row r="4" spans="1:8" x14ac:dyDescent="0.3">
      <c r="A4" s="6" t="s">
        <v>34</v>
      </c>
      <c r="B4" s="6">
        <v>2022</v>
      </c>
      <c r="C4" s="6" t="s">
        <v>45</v>
      </c>
      <c r="D4" s="21">
        <v>44774</v>
      </c>
      <c r="E4" s="4">
        <v>174.55384615384617</v>
      </c>
      <c r="F4" s="22">
        <f t="shared" ref="F4:F13" si="0">E4-E3</f>
        <v>0.22307692307691696</v>
      </c>
      <c r="G4" s="18">
        <f t="shared" ref="G4:G13" si="1">F4/E3</f>
        <v>1.2796187618585007E-3</v>
      </c>
      <c r="H4">
        <f t="shared" ref="H4:H13" si="2">G4*100</f>
        <v>0.12796187618585006</v>
      </c>
    </row>
    <row r="5" spans="1:8" x14ac:dyDescent="0.3">
      <c r="A5" s="5" t="s">
        <v>34</v>
      </c>
      <c r="B5" s="5">
        <v>2022</v>
      </c>
      <c r="C5" s="5" t="s">
        <v>47</v>
      </c>
      <c r="D5" s="21">
        <v>44805</v>
      </c>
      <c r="E5" s="4">
        <v>175.45384615384617</v>
      </c>
      <c r="F5" s="22">
        <f t="shared" si="0"/>
        <v>0.90000000000000568</v>
      </c>
      <c r="G5" s="18">
        <f t="shared" si="1"/>
        <v>5.1560021152829514E-3</v>
      </c>
      <c r="H5">
        <f t="shared" si="2"/>
        <v>0.51560021152829516</v>
      </c>
    </row>
    <row r="6" spans="1:8" x14ac:dyDescent="0.3">
      <c r="A6" s="6" t="s">
        <v>34</v>
      </c>
      <c r="B6" s="6">
        <v>2022</v>
      </c>
      <c r="C6" s="6" t="s">
        <v>49</v>
      </c>
      <c r="D6" s="21">
        <v>44835</v>
      </c>
      <c r="E6" s="4">
        <v>176.71538461538464</v>
      </c>
      <c r="F6" s="22">
        <f t="shared" si="0"/>
        <v>1.2615384615384642</v>
      </c>
      <c r="G6" s="18">
        <f t="shared" si="1"/>
        <v>7.1901442413082701E-3</v>
      </c>
      <c r="H6">
        <f t="shared" si="2"/>
        <v>0.71901442413082706</v>
      </c>
    </row>
    <row r="7" spans="1:8" x14ac:dyDescent="0.3">
      <c r="A7" s="5" t="s">
        <v>34</v>
      </c>
      <c r="B7" s="5">
        <v>2022</v>
      </c>
      <c r="C7" s="5" t="s">
        <v>52</v>
      </c>
      <c r="D7" s="21">
        <v>44866</v>
      </c>
      <c r="E7" s="4">
        <v>176.67692307692309</v>
      </c>
      <c r="F7" s="22">
        <f t="shared" si="0"/>
        <v>-3.8461538461547207E-2</v>
      </c>
      <c r="G7" s="18">
        <f t="shared" si="1"/>
        <v>-2.176468027685168E-4</v>
      </c>
      <c r="H7">
        <f t="shared" si="2"/>
        <v>-2.1764680276851682E-2</v>
      </c>
    </row>
    <row r="8" spans="1:8" x14ac:dyDescent="0.3">
      <c r="A8" s="6" t="s">
        <v>34</v>
      </c>
      <c r="B8" s="6">
        <v>2022</v>
      </c>
      <c r="C8" s="6" t="s">
        <v>54</v>
      </c>
      <c r="D8" s="21">
        <v>44896</v>
      </c>
      <c r="E8" s="4">
        <v>175.64615384615385</v>
      </c>
      <c r="F8" s="22">
        <f t="shared" si="0"/>
        <v>-1.0307692307692378</v>
      </c>
      <c r="G8" s="18">
        <f t="shared" si="1"/>
        <v>-5.8342041100662182E-3</v>
      </c>
      <c r="H8">
        <f t="shared" si="2"/>
        <v>-0.58342041100662179</v>
      </c>
    </row>
    <row r="9" spans="1:8" x14ac:dyDescent="0.3">
      <c r="A9" s="5" t="s">
        <v>34</v>
      </c>
      <c r="B9" s="5">
        <v>2023</v>
      </c>
      <c r="C9" s="5" t="s">
        <v>31</v>
      </c>
      <c r="D9" s="21">
        <v>44927</v>
      </c>
      <c r="E9" s="4">
        <v>176.36153846153846</v>
      </c>
      <c r="F9" s="22">
        <f t="shared" si="0"/>
        <v>0.71538461538460751</v>
      </c>
      <c r="G9" s="18">
        <f t="shared" si="1"/>
        <v>4.0728737847069707E-3</v>
      </c>
      <c r="H9">
        <f t="shared" si="2"/>
        <v>0.40728737847069707</v>
      </c>
    </row>
    <row r="10" spans="1:8" x14ac:dyDescent="0.3">
      <c r="A10" s="6" t="s">
        <v>34</v>
      </c>
      <c r="B10" s="6">
        <v>2023</v>
      </c>
      <c r="C10" s="6" t="s">
        <v>35</v>
      </c>
      <c r="D10" s="21">
        <v>44958</v>
      </c>
      <c r="E10" s="4">
        <v>175.3153846153846</v>
      </c>
      <c r="F10" s="22">
        <f t="shared" si="0"/>
        <v>-1.0461538461538566</v>
      </c>
      <c r="G10" s="18">
        <f t="shared" si="1"/>
        <v>-5.9318707201117182E-3</v>
      </c>
      <c r="H10">
        <f t="shared" si="2"/>
        <v>-0.59318707201117182</v>
      </c>
    </row>
    <row r="11" spans="1:8" x14ac:dyDescent="0.3">
      <c r="A11" s="5" t="s">
        <v>34</v>
      </c>
      <c r="B11" s="5">
        <v>2023</v>
      </c>
      <c r="C11" s="5" t="s">
        <v>37</v>
      </c>
      <c r="D11" s="21">
        <v>44986</v>
      </c>
      <c r="E11" s="4">
        <v>175.32307692307691</v>
      </c>
      <c r="F11" s="22">
        <f t="shared" si="0"/>
        <v>7.6923076923094413E-3</v>
      </c>
      <c r="G11" s="18">
        <f t="shared" si="1"/>
        <v>4.3876968978992914E-5</v>
      </c>
      <c r="H11">
        <f t="shared" si="2"/>
        <v>4.3876968978992913E-3</v>
      </c>
    </row>
    <row r="12" spans="1:8" x14ac:dyDescent="0.3">
      <c r="A12" s="6" t="s">
        <v>34</v>
      </c>
      <c r="B12" s="6">
        <v>2023</v>
      </c>
      <c r="C12" s="6" t="s">
        <v>38</v>
      </c>
      <c r="D12" s="21">
        <v>45017</v>
      </c>
      <c r="E12" s="4">
        <v>176.12307692307695</v>
      </c>
      <c r="F12" s="22">
        <f t="shared" si="0"/>
        <v>0.80000000000003979</v>
      </c>
      <c r="G12" s="18">
        <f t="shared" si="1"/>
        <v>4.5630045630047902E-3</v>
      </c>
      <c r="H12">
        <f t="shared" si="2"/>
        <v>0.456300456300479</v>
      </c>
    </row>
    <row r="13" spans="1:8" x14ac:dyDescent="0.3">
      <c r="A13" s="5" t="s">
        <v>34</v>
      </c>
      <c r="B13" s="5">
        <v>2023</v>
      </c>
      <c r="C13" s="5" t="s">
        <v>40</v>
      </c>
      <c r="D13" s="21">
        <v>45047</v>
      </c>
      <c r="E13" s="4">
        <v>177.45384615384617</v>
      </c>
      <c r="F13" s="22">
        <f t="shared" si="0"/>
        <v>1.3307692307692207</v>
      </c>
      <c r="G13" s="18">
        <f t="shared" si="1"/>
        <v>7.555904961565281E-3</v>
      </c>
      <c r="H13">
        <f t="shared" si="2"/>
        <v>0.75559049615652807</v>
      </c>
    </row>
    <row r="16" spans="1:8" x14ac:dyDescent="0.3">
      <c r="A16" s="1" t="s">
        <v>2</v>
      </c>
      <c r="B16" s="1" t="s">
        <v>186</v>
      </c>
    </row>
    <row r="17" spans="1:16" x14ac:dyDescent="0.3">
      <c r="A17" s="1" t="s">
        <v>41</v>
      </c>
      <c r="B17" s="1"/>
    </row>
    <row r="18" spans="1:16" x14ac:dyDescent="0.3">
      <c r="A18" s="1" t="s">
        <v>43</v>
      </c>
      <c r="B18" s="1">
        <v>0.19452672531943327</v>
      </c>
    </row>
    <row r="19" spans="1:16" x14ac:dyDescent="0.3">
      <c r="A19" s="1" t="s">
        <v>45</v>
      </c>
      <c r="B19" s="1">
        <v>0.12796187618585006</v>
      </c>
    </row>
    <row r="20" spans="1:16" x14ac:dyDescent="0.3">
      <c r="A20" s="1" t="s">
        <v>47</v>
      </c>
      <c r="B20" s="1">
        <v>0.51560021152829516</v>
      </c>
    </row>
    <row r="21" spans="1:16" x14ac:dyDescent="0.3">
      <c r="A21" s="1" t="s">
        <v>49</v>
      </c>
      <c r="B21" s="1">
        <v>0.71901442413082706</v>
      </c>
    </row>
    <row r="22" spans="1:16" x14ac:dyDescent="0.3">
      <c r="A22" s="1" t="s">
        <v>52</v>
      </c>
      <c r="B22" s="1">
        <v>-2.1764680276851682E-2</v>
      </c>
    </row>
    <row r="23" spans="1:16" x14ac:dyDescent="0.3">
      <c r="A23" s="1" t="s">
        <v>54</v>
      </c>
      <c r="B23" s="1">
        <v>-0.58342041100662179</v>
      </c>
    </row>
    <row r="24" spans="1:16" x14ac:dyDescent="0.3">
      <c r="A24" s="1" t="s">
        <v>31</v>
      </c>
      <c r="B24" s="1">
        <v>0.40728737847069707</v>
      </c>
    </row>
    <row r="25" spans="1:16" x14ac:dyDescent="0.3">
      <c r="A25" s="1" t="s">
        <v>35</v>
      </c>
      <c r="B25" s="1">
        <v>-0.59318707201117182</v>
      </c>
    </row>
    <row r="26" spans="1:16" x14ac:dyDescent="0.3">
      <c r="A26" s="1" t="s">
        <v>37</v>
      </c>
      <c r="B26" s="1">
        <v>4.3876968978992913E-3</v>
      </c>
    </row>
    <row r="27" spans="1:16" x14ac:dyDescent="0.3">
      <c r="A27" s="1" t="s">
        <v>38</v>
      </c>
      <c r="B27" s="1">
        <v>0.456300456300479</v>
      </c>
    </row>
    <row r="28" spans="1:16" x14ac:dyDescent="0.3">
      <c r="A28" s="1" t="s">
        <v>40</v>
      </c>
      <c r="B28" s="1">
        <v>0.75559049615652807</v>
      </c>
    </row>
    <row r="31" spans="1:16" x14ac:dyDescent="0.3">
      <c r="A31" s="1" t="s">
        <v>0</v>
      </c>
      <c r="B31" s="1" t="s">
        <v>1</v>
      </c>
      <c r="C31" s="1" t="s">
        <v>2</v>
      </c>
      <c r="D31" s="1" t="s">
        <v>3</v>
      </c>
      <c r="E31" s="1" t="s">
        <v>4</v>
      </c>
      <c r="F31" s="1" t="s">
        <v>5</v>
      </c>
      <c r="G31" s="1" t="s">
        <v>6</v>
      </c>
      <c r="H31" s="1" t="s">
        <v>7</v>
      </c>
      <c r="I31" s="1" t="s">
        <v>8</v>
      </c>
      <c r="J31" s="1" t="s">
        <v>9</v>
      </c>
      <c r="K31" s="1" t="s">
        <v>10</v>
      </c>
      <c r="L31" s="1" t="s">
        <v>11</v>
      </c>
      <c r="M31" s="1" t="s">
        <v>12</v>
      </c>
      <c r="N31" s="1" t="s">
        <v>13</v>
      </c>
      <c r="O31" s="1" t="s">
        <v>14</v>
      </c>
      <c r="P31" s="1" t="s">
        <v>15</v>
      </c>
    </row>
    <row r="32" spans="1:16" x14ac:dyDescent="0.3">
      <c r="A32" s="1" t="s">
        <v>34</v>
      </c>
      <c r="B32" s="1">
        <v>2022</v>
      </c>
      <c r="C32" s="1" t="s">
        <v>41</v>
      </c>
      <c r="D32" s="1">
        <v>155</v>
      </c>
      <c r="E32" s="1">
        <v>219.4</v>
      </c>
      <c r="F32" s="1">
        <v>170.8</v>
      </c>
      <c r="G32" s="1">
        <v>165.8</v>
      </c>
      <c r="H32" s="1">
        <v>200.9</v>
      </c>
      <c r="I32" s="1">
        <v>169.7</v>
      </c>
      <c r="J32" s="1">
        <v>182.3</v>
      </c>
      <c r="K32" s="1">
        <v>164.3</v>
      </c>
      <c r="L32" s="1">
        <v>119.9</v>
      </c>
      <c r="M32" s="1">
        <v>187.1</v>
      </c>
      <c r="N32" s="1">
        <v>167.9</v>
      </c>
      <c r="O32" s="1">
        <v>183.9</v>
      </c>
      <c r="P32" s="1">
        <v>174.9</v>
      </c>
    </row>
    <row r="33" spans="1:16" x14ac:dyDescent="0.3">
      <c r="A33" s="1" t="s">
        <v>34</v>
      </c>
      <c r="B33" s="1">
        <v>2023</v>
      </c>
      <c r="C33" s="1" t="s">
        <v>40</v>
      </c>
      <c r="D33" s="1">
        <v>173.7</v>
      </c>
      <c r="E33" s="1">
        <v>214.3</v>
      </c>
      <c r="F33" s="1">
        <v>173.2</v>
      </c>
      <c r="G33" s="1">
        <v>179.5</v>
      </c>
      <c r="H33" s="1">
        <v>170</v>
      </c>
      <c r="I33" s="1">
        <v>172.2</v>
      </c>
      <c r="J33" s="1">
        <v>161</v>
      </c>
      <c r="K33" s="1">
        <v>175.6</v>
      </c>
      <c r="L33" s="1">
        <v>122.7</v>
      </c>
      <c r="M33" s="1">
        <v>218</v>
      </c>
      <c r="N33" s="1">
        <v>173.4</v>
      </c>
      <c r="O33" s="1">
        <v>194.2</v>
      </c>
      <c r="P33" s="1">
        <v>179.1</v>
      </c>
    </row>
    <row r="34" spans="1:16" x14ac:dyDescent="0.3">
      <c r="A34" s="1"/>
      <c r="B34" s="1"/>
      <c r="C34" s="1"/>
      <c r="D34" s="1"/>
      <c r="E34" s="1"/>
      <c r="F34" s="1"/>
      <c r="G34" s="1"/>
      <c r="H34" s="1"/>
      <c r="I34" s="1"/>
      <c r="J34" s="1"/>
      <c r="K34" s="1"/>
      <c r="L34" s="1"/>
      <c r="M34" s="1"/>
      <c r="N34" s="1"/>
      <c r="O34" s="1"/>
      <c r="P34" s="1"/>
    </row>
    <row r="35" spans="1:16" x14ac:dyDescent="0.3">
      <c r="A35" s="1"/>
      <c r="B35" s="1"/>
      <c r="C35" s="1" t="s">
        <v>184</v>
      </c>
      <c r="D35" s="1">
        <v>18.699999999999989</v>
      </c>
      <c r="E35" s="1">
        <v>-5.0999999999999943</v>
      </c>
      <c r="F35" s="1">
        <v>2.3999999999999773</v>
      </c>
      <c r="G35" s="1">
        <v>13.699999999999989</v>
      </c>
      <c r="H35" s="1">
        <v>-30.900000000000006</v>
      </c>
      <c r="I35" s="1">
        <v>2.5</v>
      </c>
      <c r="J35" s="1">
        <v>-21.300000000000011</v>
      </c>
      <c r="K35" s="1">
        <v>11.299999999999983</v>
      </c>
      <c r="L35" s="1">
        <v>2.7999999999999972</v>
      </c>
      <c r="M35" s="23">
        <v>30.900000000000006</v>
      </c>
      <c r="N35" s="1">
        <v>5.5</v>
      </c>
      <c r="O35" s="1">
        <v>10.299999999999983</v>
      </c>
      <c r="P35" s="1">
        <v>4.1999999999999886</v>
      </c>
    </row>
    <row r="38" spans="1:16" x14ac:dyDescent="0.3">
      <c r="G38" s="46" t="s">
        <v>185</v>
      </c>
      <c r="H38" s="47"/>
      <c r="I38" s="47"/>
      <c r="J38" s="47"/>
      <c r="K38" s="47"/>
      <c r="L38" s="47"/>
      <c r="M38" s="47"/>
    </row>
    <row r="39" spans="1:16" x14ac:dyDescent="0.3">
      <c r="G39" s="47"/>
      <c r="H39" s="47"/>
      <c r="I39" s="47"/>
      <c r="J39" s="47"/>
      <c r="K39" s="47"/>
      <c r="L39" s="47"/>
      <c r="M39" s="47"/>
    </row>
    <row r="40" spans="1:16" x14ac:dyDescent="0.3">
      <c r="G40" s="47"/>
      <c r="H40" s="47"/>
      <c r="I40" s="47"/>
      <c r="J40" s="47"/>
      <c r="K40" s="47"/>
      <c r="L40" s="47"/>
      <c r="M40" s="47"/>
    </row>
  </sheetData>
  <mergeCells count="1">
    <mergeCell ref="G38:M4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55B6-1409-4347-B9ED-B0C7DE269FE6}">
  <dimension ref="A3:K21"/>
  <sheetViews>
    <sheetView topLeftCell="B1" zoomScale="110" zoomScaleNormal="110" workbookViewId="0">
      <selection activeCell="I27" sqref="I27"/>
    </sheetView>
  </sheetViews>
  <sheetFormatPr defaultRowHeight="14.4" x14ac:dyDescent="0.3"/>
  <cols>
    <col min="1" max="1" width="13.109375" bestFit="1" customWidth="1"/>
    <col min="2" max="2" width="16.33203125" bestFit="1" customWidth="1"/>
    <col min="3" max="3" width="12.109375" bestFit="1" customWidth="1"/>
    <col min="4" max="4" width="11.44140625" bestFit="1" customWidth="1"/>
    <col min="5" max="5" width="18.44140625" bestFit="1" customWidth="1"/>
    <col min="6" max="6" width="20" bestFit="1" customWidth="1"/>
    <col min="7" max="7" width="20.88671875" bestFit="1" customWidth="1"/>
    <col min="8" max="8" width="19.6640625" bestFit="1" customWidth="1"/>
    <col min="9" max="9" width="18.44140625" bestFit="1" customWidth="1"/>
    <col min="10" max="10" width="19.6640625" bestFit="1" customWidth="1"/>
    <col min="11" max="11" width="28.88671875" bestFit="1" customWidth="1"/>
    <col min="12" max="12" width="15.5546875" bestFit="1" customWidth="1"/>
    <col min="13" max="13" width="23.5546875" bestFit="1" customWidth="1"/>
    <col min="14" max="14" width="24.33203125" bestFit="1" customWidth="1"/>
    <col min="15" max="15" width="18.44140625" bestFit="1" customWidth="1"/>
    <col min="16" max="16" width="20" bestFit="1" customWidth="1"/>
    <col min="17" max="17" width="20.88671875" bestFit="1" customWidth="1"/>
    <col min="18" max="18" width="19.6640625" bestFit="1" customWidth="1"/>
    <col min="19" max="19" width="18.44140625" bestFit="1" customWidth="1"/>
    <col min="20" max="20" width="19.6640625" bestFit="1" customWidth="1"/>
    <col min="21" max="21" width="28.88671875" bestFit="1" customWidth="1"/>
    <col min="22" max="22" width="20.5546875" bestFit="1" customWidth="1"/>
    <col min="23" max="23" width="28.5546875" bestFit="1" customWidth="1"/>
    <col min="24" max="24" width="29.33203125" bestFit="1" customWidth="1"/>
    <col min="25" max="25" width="23.44140625" bestFit="1" customWidth="1"/>
    <col min="26" max="26" width="25" bestFit="1" customWidth="1"/>
    <col min="27" max="27" width="26" bestFit="1" customWidth="1"/>
    <col min="28" max="28" width="24.6640625" bestFit="1" customWidth="1"/>
    <col min="29" max="29" width="23.44140625" bestFit="1" customWidth="1"/>
    <col min="30" max="30" width="24.6640625" bestFit="1" customWidth="1"/>
    <col min="31" max="31" width="34" bestFit="1" customWidth="1"/>
  </cols>
  <sheetData>
    <row r="3" spans="1:4" x14ac:dyDescent="0.3">
      <c r="B3" s="13" t="s">
        <v>189</v>
      </c>
    </row>
    <row r="4" spans="1:4" x14ac:dyDescent="0.3">
      <c r="A4" s="13" t="s">
        <v>177</v>
      </c>
      <c r="B4" t="s">
        <v>187</v>
      </c>
      <c r="C4" t="s">
        <v>188</v>
      </c>
      <c r="D4" t="s">
        <v>178</v>
      </c>
    </row>
    <row r="5" spans="1:4" x14ac:dyDescent="0.3">
      <c r="A5" s="14" t="s">
        <v>34</v>
      </c>
    </row>
    <row r="6" spans="1:4" x14ac:dyDescent="0.3">
      <c r="A6" s="24" t="s">
        <v>191</v>
      </c>
      <c r="B6">
        <v>164.93372781065088</v>
      </c>
      <c r="C6">
        <v>128.98009049773754</v>
      </c>
      <c r="D6">
        <v>140.28808933002486</v>
      </c>
    </row>
    <row r="7" spans="1:4" x14ac:dyDescent="0.3">
      <c r="A7" s="24" t="s">
        <v>193</v>
      </c>
      <c r="B7">
        <v>162.65384615384616</v>
      </c>
      <c r="C7">
        <v>119.89176470588234</v>
      </c>
      <c r="D7">
        <v>133.34112903225812</v>
      </c>
    </row>
    <row r="8" spans="1:4" x14ac:dyDescent="0.3">
      <c r="A8" s="24" t="s">
        <v>194</v>
      </c>
      <c r="B8">
        <v>164.11538461538458</v>
      </c>
      <c r="C8">
        <v>128.34</v>
      </c>
      <c r="D8">
        <v>139.591935483871</v>
      </c>
    </row>
    <row r="9" spans="1:4" x14ac:dyDescent="0.3">
      <c r="A9" s="14" t="s">
        <v>190</v>
      </c>
      <c r="B9">
        <v>164.93372781065088</v>
      </c>
      <c r="C9">
        <v>128.98009049773754</v>
      </c>
      <c r="D9">
        <v>140.28808933002486</v>
      </c>
    </row>
    <row r="10" spans="1:4" x14ac:dyDescent="0.3">
      <c r="A10" s="14" t="s">
        <v>192</v>
      </c>
      <c r="B10">
        <v>162.65384615384616</v>
      </c>
      <c r="C10">
        <v>119.89176470588234</v>
      </c>
      <c r="D10">
        <v>133.34112903225812</v>
      </c>
    </row>
    <row r="11" spans="1:4" x14ac:dyDescent="0.3">
      <c r="A11" s="14" t="s">
        <v>195</v>
      </c>
      <c r="B11">
        <v>164.11538461538458</v>
      </c>
      <c r="C11">
        <v>128.34</v>
      </c>
      <c r="D11">
        <v>139.591935483871</v>
      </c>
    </row>
    <row r="14" spans="1:4" x14ac:dyDescent="0.3">
      <c r="A14" t="s">
        <v>34</v>
      </c>
    </row>
    <row r="15" spans="1:4" x14ac:dyDescent="0.3">
      <c r="A15" t="s">
        <v>191</v>
      </c>
      <c r="B15" s="1">
        <v>164.93372781065088</v>
      </c>
      <c r="C15" s="1">
        <v>128.98009049773754</v>
      </c>
    </row>
    <row r="16" spans="1:4" x14ac:dyDescent="0.3">
      <c r="A16" t="s">
        <v>193</v>
      </c>
      <c r="B16" s="1">
        <v>162.65384615384616</v>
      </c>
      <c r="C16" s="1">
        <v>119.89176470588234</v>
      </c>
    </row>
    <row r="17" spans="1:11" x14ac:dyDescent="0.3">
      <c r="A17" t="s">
        <v>194</v>
      </c>
      <c r="B17" s="1">
        <v>164.11538461538458</v>
      </c>
      <c r="C17" s="1">
        <v>128.34</v>
      </c>
    </row>
    <row r="18" spans="1:11" x14ac:dyDescent="0.3">
      <c r="F18" s="48" t="s">
        <v>196</v>
      </c>
      <c r="G18" s="48"/>
      <c r="H18" s="48"/>
      <c r="I18" s="48"/>
      <c r="J18" s="48"/>
      <c r="K18" s="48"/>
    </row>
    <row r="19" spans="1:11" x14ac:dyDescent="0.3">
      <c r="F19" s="48"/>
      <c r="G19" s="48"/>
      <c r="H19" s="48"/>
      <c r="I19" s="48"/>
      <c r="J19" s="48"/>
      <c r="K19" s="48"/>
    </row>
    <row r="20" spans="1:11" x14ac:dyDescent="0.3">
      <c r="F20" s="48"/>
      <c r="G20" s="48"/>
      <c r="H20" s="48"/>
      <c r="I20" s="48"/>
      <c r="J20" s="48"/>
      <c r="K20" s="48"/>
    </row>
    <row r="21" spans="1:11" x14ac:dyDescent="0.3">
      <c r="F21" s="48"/>
      <c r="G21" s="48"/>
      <c r="H21" s="48"/>
      <c r="I21" s="48"/>
      <c r="J21" s="48"/>
      <c r="K21" s="48"/>
    </row>
  </sheetData>
  <mergeCells count="1">
    <mergeCell ref="F18:K2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9F867-0964-49A2-84C3-9C22C569C65C}">
  <dimension ref="A1:Q50"/>
  <sheetViews>
    <sheetView zoomScaleNormal="100" workbookViewId="0">
      <selection activeCell="U18" sqref="U18"/>
    </sheetView>
  </sheetViews>
  <sheetFormatPr defaultRowHeight="14.4" x14ac:dyDescent="0.3"/>
  <cols>
    <col min="1" max="1" width="11.88671875" bestFit="1" customWidth="1"/>
    <col min="2" max="2" width="5" bestFit="1" customWidth="1"/>
    <col min="3" max="3" width="10.88671875" bestFit="1" customWidth="1"/>
    <col min="4" max="4" width="6" bestFit="1" customWidth="1"/>
    <col min="5" max="5" width="12" bestFit="1" customWidth="1"/>
    <col min="6" max="6" width="8.109375" bestFit="1" customWidth="1"/>
    <col min="7" max="7" width="12" bestFit="1" customWidth="1"/>
    <col min="8" max="8" width="8.109375" bestFit="1" customWidth="1"/>
    <col min="9" max="9" width="18.5546875" bestFit="1" customWidth="1"/>
    <col min="10" max="10" width="9.44140625" bestFit="1" customWidth="1"/>
    <col min="11" max="11" width="10.5546875" bestFit="1" customWidth="1"/>
    <col min="12" max="12" width="9.6640625" bestFit="1" customWidth="1"/>
    <col min="13" max="13" width="13.33203125" bestFit="1" customWidth="1"/>
    <col min="14" max="14" width="13.88671875" bestFit="1" customWidth="1"/>
    <col min="15" max="15" width="13.5546875" bestFit="1" customWidth="1"/>
    <col min="16" max="16" width="12" bestFit="1" customWidth="1"/>
    <col min="17" max="17" width="18.6640625" bestFit="1" customWidth="1"/>
  </cols>
  <sheetData>
    <row r="1" spans="1:17" x14ac:dyDescent="0.3">
      <c r="A1" s="23" t="s">
        <v>0</v>
      </c>
      <c r="B1" s="23" t="s">
        <v>1</v>
      </c>
      <c r="C1" s="23" t="s">
        <v>2</v>
      </c>
      <c r="D1" s="23"/>
      <c r="E1" s="23" t="s">
        <v>164</v>
      </c>
      <c r="F1" s="23" t="s">
        <v>171</v>
      </c>
      <c r="G1" s="23" t="s">
        <v>18</v>
      </c>
      <c r="H1" s="23" t="s">
        <v>20</v>
      </c>
      <c r="I1" s="23" t="s">
        <v>169</v>
      </c>
      <c r="J1" s="23" t="s">
        <v>166</v>
      </c>
      <c r="K1" s="23" t="s">
        <v>170</v>
      </c>
      <c r="L1" s="23" t="s">
        <v>26</v>
      </c>
      <c r="M1" s="23" t="s">
        <v>172</v>
      </c>
      <c r="N1" s="23" t="s">
        <v>28</v>
      </c>
      <c r="O1" s="23" t="s">
        <v>173</v>
      </c>
      <c r="P1" s="23" t="s">
        <v>174</v>
      </c>
      <c r="Q1" s="26" t="s">
        <v>197</v>
      </c>
    </row>
    <row r="2" spans="1:17" x14ac:dyDescent="0.3">
      <c r="A2" s="1" t="s">
        <v>34</v>
      </c>
      <c r="B2" s="1">
        <v>2021</v>
      </c>
      <c r="C2" s="1" t="s">
        <v>38</v>
      </c>
      <c r="D2" s="1">
        <v>44287</v>
      </c>
      <c r="E2" s="1">
        <v>158.77692307692308</v>
      </c>
      <c r="F2" s="1">
        <v>188.8</v>
      </c>
      <c r="G2" s="1">
        <v>154.86666666666667</v>
      </c>
      <c r="H2" s="1">
        <v>155.6</v>
      </c>
      <c r="I2" s="1">
        <v>157.05000000000001</v>
      </c>
      <c r="J2" s="1">
        <v>146.6</v>
      </c>
      <c r="K2" s="1">
        <v>153.19999999999999</v>
      </c>
      <c r="L2" s="1">
        <v>160.30000000000001</v>
      </c>
      <c r="M2" s="1">
        <v>155.4</v>
      </c>
      <c r="N2" s="1">
        <v>154.4</v>
      </c>
      <c r="O2" s="1">
        <v>157.80000000000001</v>
      </c>
      <c r="P2" s="1">
        <v>158.49935897435898</v>
      </c>
      <c r="Q2" s="1">
        <v>74207.645156289771</v>
      </c>
    </row>
    <row r="3" spans="1:17" x14ac:dyDescent="0.3">
      <c r="A3" s="1" t="s">
        <v>34</v>
      </c>
      <c r="B3" s="1">
        <v>2021</v>
      </c>
      <c r="C3" s="1" t="s">
        <v>40</v>
      </c>
      <c r="D3" s="1">
        <v>44317</v>
      </c>
      <c r="E3" s="1">
        <v>161.9769230769231</v>
      </c>
      <c r="F3" s="1">
        <v>191.9</v>
      </c>
      <c r="G3" s="1">
        <v>158.1</v>
      </c>
      <c r="H3" s="1">
        <v>159.4</v>
      </c>
      <c r="I3" s="1">
        <v>160.25</v>
      </c>
      <c r="J3" s="1">
        <v>148.9</v>
      </c>
      <c r="K3" s="1">
        <v>155.80000000000001</v>
      </c>
      <c r="L3" s="1">
        <v>161.19999999999999</v>
      </c>
      <c r="M3" s="1">
        <v>158.6</v>
      </c>
      <c r="N3" s="1">
        <v>156.80000000000001</v>
      </c>
      <c r="O3" s="1">
        <v>160.4</v>
      </c>
      <c r="P3" s="1">
        <v>161.29269230769231</v>
      </c>
      <c r="Q3" s="1">
        <v>70046.397374263441</v>
      </c>
    </row>
    <row r="4" spans="1:17" x14ac:dyDescent="0.3">
      <c r="A4" s="1" t="s">
        <v>34</v>
      </c>
      <c r="B4" s="1">
        <v>2021</v>
      </c>
      <c r="C4" s="1" t="s">
        <v>41</v>
      </c>
      <c r="D4" s="1">
        <v>44348</v>
      </c>
      <c r="E4" s="1">
        <v>164.14615384615385</v>
      </c>
      <c r="F4" s="1">
        <v>190.8</v>
      </c>
      <c r="G4" s="1">
        <v>158.23333333333332</v>
      </c>
      <c r="H4" s="1">
        <v>159.80000000000001</v>
      </c>
      <c r="I4" s="1">
        <v>160.55000000000001</v>
      </c>
      <c r="J4" s="1">
        <v>150.69999999999999</v>
      </c>
      <c r="K4" s="1">
        <v>154.9</v>
      </c>
      <c r="L4" s="1">
        <v>161.69999999999999</v>
      </c>
      <c r="M4" s="1">
        <v>158.80000000000001</v>
      </c>
      <c r="N4" s="1">
        <v>157.6</v>
      </c>
      <c r="O4" s="1">
        <v>161.30000000000001</v>
      </c>
      <c r="P4" s="1">
        <v>161.72294871794873</v>
      </c>
      <c r="Q4" s="1">
        <v>71679.348913787879</v>
      </c>
    </row>
    <row r="5" spans="1:17" x14ac:dyDescent="0.3">
      <c r="A5" s="1" t="s">
        <v>34</v>
      </c>
      <c r="B5" s="1">
        <v>2021</v>
      </c>
      <c r="C5" s="1" t="s">
        <v>43</v>
      </c>
      <c r="D5" s="1">
        <v>44378</v>
      </c>
      <c r="E5" s="1">
        <v>165.15384615384616</v>
      </c>
      <c r="F5" s="1">
        <v>191.2</v>
      </c>
      <c r="G5" s="1">
        <v>159.1</v>
      </c>
      <c r="H5" s="1">
        <v>160.69999999999999</v>
      </c>
      <c r="I5" s="1">
        <v>161.4</v>
      </c>
      <c r="J5" s="1">
        <v>153.1</v>
      </c>
      <c r="K5" s="1">
        <v>155.30000000000001</v>
      </c>
      <c r="L5" s="1">
        <v>163.19999999999999</v>
      </c>
      <c r="M5" s="1">
        <v>160.1</v>
      </c>
      <c r="N5" s="1">
        <v>159</v>
      </c>
      <c r="O5" s="1">
        <v>162.5</v>
      </c>
      <c r="P5" s="1">
        <v>162.82538461538462</v>
      </c>
      <c r="Q5" s="1">
        <v>72860.439470110607</v>
      </c>
    </row>
    <row r="6" spans="1:17" x14ac:dyDescent="0.3">
      <c r="A6" s="1" t="s">
        <v>34</v>
      </c>
      <c r="B6" s="1">
        <v>2021</v>
      </c>
      <c r="C6" s="1" t="s">
        <v>45</v>
      </c>
      <c r="D6" s="1">
        <v>44409</v>
      </c>
      <c r="E6" s="1">
        <v>164.76923076923077</v>
      </c>
      <c r="F6" s="1">
        <v>192.1</v>
      </c>
      <c r="G6" s="1">
        <v>161</v>
      </c>
      <c r="H6" s="1">
        <v>162.6</v>
      </c>
      <c r="I6" s="1">
        <v>162.94999999999999</v>
      </c>
      <c r="J6" s="1">
        <v>154</v>
      </c>
      <c r="K6" s="1">
        <v>157.6</v>
      </c>
      <c r="L6" s="1">
        <v>163.80000000000001</v>
      </c>
      <c r="M6" s="1">
        <v>160</v>
      </c>
      <c r="N6" s="1">
        <v>160</v>
      </c>
      <c r="O6" s="1">
        <v>163.19999999999999</v>
      </c>
      <c r="P6" s="1">
        <v>163.88192307692307</v>
      </c>
      <c r="Q6" s="1">
        <v>80983.015512993996</v>
      </c>
    </row>
    <row r="7" spans="1:17" x14ac:dyDescent="0.3">
      <c r="A7" s="1" t="s">
        <v>34</v>
      </c>
      <c r="B7" s="1">
        <v>2021</v>
      </c>
      <c r="C7" s="1" t="s">
        <v>47</v>
      </c>
      <c r="D7" s="1">
        <v>44440</v>
      </c>
      <c r="E7" s="1">
        <v>164.76923076923077</v>
      </c>
      <c r="F7" s="1">
        <v>192.1</v>
      </c>
      <c r="G7" s="1">
        <v>161.06666666666666</v>
      </c>
      <c r="H7" s="1">
        <v>162.6</v>
      </c>
      <c r="I7" s="1">
        <v>162.94999999999999</v>
      </c>
      <c r="J7" s="1">
        <v>154</v>
      </c>
      <c r="K7" s="1">
        <v>157.69999999999999</v>
      </c>
      <c r="L7" s="1">
        <v>163.69999999999999</v>
      </c>
      <c r="M7" s="1">
        <v>160</v>
      </c>
      <c r="N7" s="1">
        <v>160</v>
      </c>
      <c r="O7" s="1">
        <v>163.19999999999999</v>
      </c>
      <c r="P7" s="1">
        <v>163.88858974358976</v>
      </c>
      <c r="Q7" s="1">
        <v>83035.173906576631</v>
      </c>
    </row>
    <row r="8" spans="1:17" x14ac:dyDescent="0.3">
      <c r="A8" s="1" t="s">
        <v>34</v>
      </c>
      <c r="B8" s="1">
        <v>2021</v>
      </c>
      <c r="C8" s="1" t="s">
        <v>49</v>
      </c>
      <c r="D8" s="1">
        <v>44470</v>
      </c>
      <c r="E8" s="1">
        <v>167.34615384615384</v>
      </c>
      <c r="F8" s="1">
        <v>192.7</v>
      </c>
      <c r="G8" s="1">
        <v>162.1</v>
      </c>
      <c r="H8" s="1">
        <v>164.2</v>
      </c>
      <c r="I8" s="1">
        <v>163.75</v>
      </c>
      <c r="J8" s="1">
        <v>155.69999999999999</v>
      </c>
      <c r="K8" s="1">
        <v>158.6</v>
      </c>
      <c r="L8" s="1">
        <v>163.9</v>
      </c>
      <c r="M8" s="1">
        <v>160.80000000000001</v>
      </c>
      <c r="N8" s="1">
        <v>161</v>
      </c>
      <c r="O8" s="1">
        <v>165.5</v>
      </c>
      <c r="P8" s="1">
        <v>165.00961538461539</v>
      </c>
      <c r="Q8" s="1">
        <v>91471.513995553876</v>
      </c>
    </row>
    <row r="9" spans="1:17" x14ac:dyDescent="0.3">
      <c r="A9" s="1" t="s">
        <v>34</v>
      </c>
      <c r="B9" s="1">
        <v>2021</v>
      </c>
      <c r="C9" s="1" t="s">
        <v>52</v>
      </c>
      <c r="D9" s="1">
        <v>44501</v>
      </c>
      <c r="E9" s="1">
        <v>168.77692307692308</v>
      </c>
      <c r="F9" s="1">
        <v>192.9</v>
      </c>
      <c r="G9" s="1">
        <v>163.46666666666667</v>
      </c>
      <c r="H9" s="1">
        <v>163.9</v>
      </c>
      <c r="I9" s="1">
        <v>164.60000000000002</v>
      </c>
      <c r="J9" s="1">
        <v>154.80000000000001</v>
      </c>
      <c r="K9" s="1">
        <v>159.80000000000001</v>
      </c>
      <c r="L9" s="1">
        <v>164.3</v>
      </c>
      <c r="M9" s="1">
        <v>162.19999999999999</v>
      </c>
      <c r="N9" s="1">
        <v>161.4</v>
      </c>
      <c r="O9" s="1">
        <v>166.7</v>
      </c>
      <c r="P9" s="1">
        <v>165.61435897435899</v>
      </c>
      <c r="Q9" s="1">
        <v>95105.451863192153</v>
      </c>
    </row>
    <row r="10" spans="1:17" x14ac:dyDescent="0.3">
      <c r="A10" s="1" t="s">
        <v>34</v>
      </c>
      <c r="B10" s="1">
        <v>2021</v>
      </c>
      <c r="C10" s="1" t="s">
        <v>54</v>
      </c>
      <c r="D10" s="1">
        <v>44531</v>
      </c>
      <c r="E10" s="1">
        <v>167.76153846153846</v>
      </c>
      <c r="F10" s="1">
        <v>192.4</v>
      </c>
      <c r="G10" s="1">
        <v>164.73333333333332</v>
      </c>
      <c r="H10" s="1">
        <v>164.1</v>
      </c>
      <c r="I10" s="1">
        <v>165.39999999999998</v>
      </c>
      <c r="J10" s="1">
        <v>155.69999999999999</v>
      </c>
      <c r="K10" s="1">
        <v>160.6</v>
      </c>
      <c r="L10" s="1">
        <v>164.4</v>
      </c>
      <c r="M10" s="1">
        <v>162.6</v>
      </c>
      <c r="N10" s="1">
        <v>162</v>
      </c>
      <c r="O10" s="1">
        <v>166.2</v>
      </c>
      <c r="P10" s="1">
        <v>165.96948717948717</v>
      </c>
      <c r="Q10" s="1">
        <v>100380.52800837092</v>
      </c>
    </row>
    <row r="11" spans="1:17" x14ac:dyDescent="0.3">
      <c r="A11" s="1" t="s">
        <v>34</v>
      </c>
      <c r="B11" s="1">
        <v>2022</v>
      </c>
      <c r="C11" s="1" t="s">
        <v>31</v>
      </c>
      <c r="D11" s="1">
        <v>44562</v>
      </c>
      <c r="E11" s="1">
        <v>166.47692307692307</v>
      </c>
      <c r="F11" s="1">
        <v>192.2</v>
      </c>
      <c r="G11" s="1">
        <v>166.36666666666667</v>
      </c>
      <c r="H11" s="1">
        <v>164.2</v>
      </c>
      <c r="I11" s="1">
        <v>166.25</v>
      </c>
      <c r="J11" s="1">
        <v>156.5</v>
      </c>
      <c r="K11" s="1">
        <v>161.19999999999999</v>
      </c>
      <c r="L11" s="1">
        <v>164.7</v>
      </c>
      <c r="M11" s="1">
        <v>163</v>
      </c>
      <c r="N11" s="1">
        <v>162.69999999999999</v>
      </c>
      <c r="O11" s="1">
        <v>165.7</v>
      </c>
      <c r="P11" s="1">
        <v>166.359358974359</v>
      </c>
      <c r="Q11" s="1">
        <v>101828.28887769801</v>
      </c>
    </row>
    <row r="12" spans="1:17" x14ac:dyDescent="0.3">
      <c r="A12" s="1" t="s">
        <v>34</v>
      </c>
      <c r="B12" s="1">
        <v>2022</v>
      </c>
      <c r="C12" s="1" t="s">
        <v>35</v>
      </c>
      <c r="D12" s="1">
        <v>44593</v>
      </c>
      <c r="E12" s="1">
        <v>166.24615384615387</v>
      </c>
      <c r="F12" s="1">
        <v>192.8</v>
      </c>
      <c r="G12" s="1">
        <v>167.60000000000002</v>
      </c>
      <c r="H12" s="1">
        <v>165.7</v>
      </c>
      <c r="I12" s="1">
        <v>167</v>
      </c>
      <c r="J12" s="1">
        <v>156.9</v>
      </c>
      <c r="K12" s="1">
        <v>162.1</v>
      </c>
      <c r="L12" s="1">
        <v>165.4</v>
      </c>
      <c r="M12" s="1">
        <v>164.4</v>
      </c>
      <c r="N12" s="1">
        <v>163.5</v>
      </c>
      <c r="O12" s="1">
        <v>166.1</v>
      </c>
      <c r="P12" s="1">
        <v>167.16461538461539</v>
      </c>
      <c r="Q12" s="1">
        <v>102317.68803371425</v>
      </c>
    </row>
    <row r="13" spans="1:17" x14ac:dyDescent="0.3">
      <c r="A13" s="1" t="s">
        <v>34</v>
      </c>
      <c r="B13" s="1">
        <v>2022</v>
      </c>
      <c r="C13" s="1" t="s">
        <v>37</v>
      </c>
      <c r="D13" s="1">
        <v>44621</v>
      </c>
      <c r="E13" s="1">
        <v>168.01538461538465</v>
      </c>
      <c r="F13" s="1">
        <v>193.7</v>
      </c>
      <c r="G13" s="1">
        <v>169.26666666666665</v>
      </c>
      <c r="H13" s="1">
        <v>167.2</v>
      </c>
      <c r="I13" s="1">
        <v>167.9</v>
      </c>
      <c r="J13" s="1">
        <v>157.9</v>
      </c>
      <c r="K13" s="1">
        <v>163.30000000000001</v>
      </c>
      <c r="L13" s="1">
        <v>166</v>
      </c>
      <c r="M13" s="1">
        <v>167.2</v>
      </c>
      <c r="N13" s="1">
        <v>164.6</v>
      </c>
      <c r="O13" s="1">
        <v>167.7</v>
      </c>
      <c r="P13" s="1">
        <v>168.50820512820513</v>
      </c>
      <c r="Q13" s="1">
        <v>134181.47733497745</v>
      </c>
    </row>
    <row r="14" spans="1:17" x14ac:dyDescent="0.3">
      <c r="A14" s="1" t="s">
        <v>34</v>
      </c>
      <c r="B14" s="1">
        <v>2022</v>
      </c>
      <c r="C14" s="1" t="s">
        <v>38</v>
      </c>
      <c r="D14" s="1">
        <v>44652</v>
      </c>
      <c r="E14" s="1">
        <v>170.33076923076925</v>
      </c>
      <c r="F14" s="1">
        <v>193.9</v>
      </c>
      <c r="G14" s="1">
        <v>171.06666666666669</v>
      </c>
      <c r="H14" s="1">
        <v>172.2</v>
      </c>
      <c r="I14" s="1">
        <v>169</v>
      </c>
      <c r="J14" s="1">
        <v>162.6</v>
      </c>
      <c r="K14" s="1">
        <v>164.4</v>
      </c>
      <c r="L14" s="1">
        <v>166.9</v>
      </c>
      <c r="M14" s="1">
        <v>168.8</v>
      </c>
      <c r="N14" s="1">
        <v>166.8</v>
      </c>
      <c r="O14" s="1">
        <v>170.1</v>
      </c>
      <c r="P14" s="1">
        <v>170.59974358974358</v>
      </c>
      <c r="Q14" s="1">
        <v>151257.77739211501</v>
      </c>
    </row>
    <row r="15" spans="1:17" x14ac:dyDescent="0.3">
      <c r="A15" s="1" t="s">
        <v>34</v>
      </c>
      <c r="B15" s="1">
        <v>2022</v>
      </c>
      <c r="C15" s="1" t="s">
        <v>40</v>
      </c>
      <c r="D15" s="1">
        <v>44682</v>
      </c>
      <c r="E15" s="1">
        <v>172.22307692307697</v>
      </c>
      <c r="F15" s="1">
        <v>194.1</v>
      </c>
      <c r="G15" s="1">
        <v>172.86666666666667</v>
      </c>
      <c r="H15" s="1">
        <v>174.6</v>
      </c>
      <c r="I15" s="1">
        <v>170</v>
      </c>
      <c r="J15" s="1">
        <v>163</v>
      </c>
      <c r="K15" s="1">
        <v>165.1</v>
      </c>
      <c r="L15" s="1">
        <v>167.9</v>
      </c>
      <c r="M15" s="1">
        <v>168.4</v>
      </c>
      <c r="N15" s="1">
        <v>167.5</v>
      </c>
      <c r="O15" s="1">
        <v>171.7</v>
      </c>
      <c r="P15" s="1">
        <v>171.56897435897437</v>
      </c>
      <c r="Q15" s="1">
        <v>137781.52369026651</v>
      </c>
    </row>
    <row r="16" spans="1:17" x14ac:dyDescent="0.3">
      <c r="A16" s="1" t="s">
        <v>34</v>
      </c>
      <c r="B16" s="1">
        <v>2022</v>
      </c>
      <c r="C16" s="1" t="s">
        <v>41</v>
      </c>
      <c r="D16" s="1">
        <v>44713</v>
      </c>
      <c r="E16" s="1">
        <v>173.99230769230769</v>
      </c>
      <c r="F16" s="1">
        <v>194.3</v>
      </c>
      <c r="G16" s="1">
        <v>174.33333333333334</v>
      </c>
      <c r="H16" s="1">
        <v>176</v>
      </c>
      <c r="I16" s="1">
        <v>170.9</v>
      </c>
      <c r="J16" s="1">
        <v>161.1</v>
      </c>
      <c r="K16" s="1">
        <v>165.8</v>
      </c>
      <c r="L16" s="1">
        <v>169</v>
      </c>
      <c r="M16" s="1">
        <v>169.4</v>
      </c>
      <c r="N16" s="1">
        <v>167.5</v>
      </c>
      <c r="O16" s="1">
        <v>172.6</v>
      </c>
      <c r="P16" s="1">
        <v>172.23256410256411</v>
      </c>
      <c r="Q16" s="1">
        <v>140361.99809642398</v>
      </c>
    </row>
    <row r="17" spans="1:17" x14ac:dyDescent="0.3">
      <c r="A17" s="1" t="s">
        <v>34</v>
      </c>
      <c r="B17" s="1">
        <v>2022</v>
      </c>
      <c r="C17" s="1" t="s">
        <v>43</v>
      </c>
      <c r="D17" s="1">
        <v>44743</v>
      </c>
      <c r="E17" s="1">
        <v>174.33076923076925</v>
      </c>
      <c r="F17" s="1">
        <v>194.6</v>
      </c>
      <c r="G17" s="1">
        <v>175.63333333333335</v>
      </c>
      <c r="H17" s="1">
        <v>179.6</v>
      </c>
      <c r="I17" s="1">
        <v>171.75</v>
      </c>
      <c r="J17" s="1">
        <v>161.6</v>
      </c>
      <c r="K17" s="1">
        <v>166.3</v>
      </c>
      <c r="L17" s="1">
        <v>171.4</v>
      </c>
      <c r="M17" s="1">
        <v>169.7</v>
      </c>
      <c r="N17" s="1">
        <v>168.4</v>
      </c>
      <c r="O17" s="1">
        <v>173.4</v>
      </c>
      <c r="P17" s="1">
        <v>173.33141025641027</v>
      </c>
      <c r="Q17" s="1">
        <v>148619.35499624049</v>
      </c>
    </row>
    <row r="18" spans="1:17" x14ac:dyDescent="0.3">
      <c r="A18" s="1" t="s">
        <v>34</v>
      </c>
      <c r="B18" s="1">
        <v>2022</v>
      </c>
      <c r="C18" s="1" t="s">
        <v>45</v>
      </c>
      <c r="D18" s="1">
        <v>44774</v>
      </c>
      <c r="E18" s="1">
        <v>174.55384615384617</v>
      </c>
      <c r="F18" s="1">
        <v>195</v>
      </c>
      <c r="G18" s="1">
        <v>176.9</v>
      </c>
      <c r="H18" s="1">
        <v>178.8</v>
      </c>
      <c r="I18" s="1">
        <v>172.65</v>
      </c>
      <c r="J18" s="1">
        <v>161.9</v>
      </c>
      <c r="K18" s="1">
        <v>166.9</v>
      </c>
      <c r="L18" s="1">
        <v>172.3</v>
      </c>
      <c r="M18" s="1">
        <v>171.2</v>
      </c>
      <c r="N18" s="1">
        <v>169.1</v>
      </c>
      <c r="O18" s="1">
        <v>174.3</v>
      </c>
      <c r="P18" s="1">
        <v>173.93038461538461</v>
      </c>
      <c r="Q18" s="1">
        <v>120976.19320076992</v>
      </c>
    </row>
    <row r="19" spans="1:17" x14ac:dyDescent="0.3">
      <c r="A19" s="1" t="s">
        <v>34</v>
      </c>
      <c r="B19" s="1">
        <v>2022</v>
      </c>
      <c r="C19" s="1" t="s">
        <v>47</v>
      </c>
      <c r="D19" s="1">
        <v>44805</v>
      </c>
      <c r="E19" s="1">
        <v>175.45384615384617</v>
      </c>
      <c r="F19" s="1">
        <v>195.9</v>
      </c>
      <c r="G19" s="1">
        <v>178.36666666666667</v>
      </c>
      <c r="H19" s="1">
        <v>179.5</v>
      </c>
      <c r="I19" s="1">
        <v>173.65</v>
      </c>
      <c r="J19" s="1">
        <v>162.30000000000001</v>
      </c>
      <c r="K19" s="1">
        <v>167.6</v>
      </c>
      <c r="L19" s="1">
        <v>173.1</v>
      </c>
      <c r="M19" s="1">
        <v>170.9</v>
      </c>
      <c r="N19" s="1">
        <v>169.7</v>
      </c>
      <c r="O19" s="1">
        <v>175.3</v>
      </c>
      <c r="P19" s="1">
        <v>174.64705128205128</v>
      </c>
      <c r="Q19" s="1">
        <v>110015.88104199871</v>
      </c>
    </row>
    <row r="20" spans="1:17" x14ac:dyDescent="0.3">
      <c r="A20" s="1" t="s">
        <v>34</v>
      </c>
      <c r="B20" s="1">
        <v>2022</v>
      </c>
      <c r="C20" s="1" t="s">
        <v>49</v>
      </c>
      <c r="D20" s="1">
        <v>44835</v>
      </c>
      <c r="E20" s="1">
        <v>176.71538461538464</v>
      </c>
      <c r="F20" s="1">
        <v>196.3</v>
      </c>
      <c r="G20" s="1">
        <v>179.4</v>
      </c>
      <c r="H20" s="1">
        <v>180.5</v>
      </c>
      <c r="I20" s="1">
        <v>174.55</v>
      </c>
      <c r="J20" s="1">
        <v>162.9</v>
      </c>
      <c r="K20" s="1">
        <v>168.2</v>
      </c>
      <c r="L20" s="1">
        <v>173.4</v>
      </c>
      <c r="M20" s="1">
        <v>172.1</v>
      </c>
      <c r="N20" s="1">
        <v>170.5</v>
      </c>
      <c r="O20" s="1">
        <v>176.7</v>
      </c>
      <c r="P20" s="1">
        <v>175.45653846153849</v>
      </c>
      <c r="Q20" s="1">
        <v>116548.19734168371</v>
      </c>
    </row>
    <row r="21" spans="1:17" x14ac:dyDescent="0.3">
      <c r="A21" s="1" t="s">
        <v>34</v>
      </c>
      <c r="B21" s="1">
        <v>2022</v>
      </c>
      <c r="C21" s="1" t="s">
        <v>52</v>
      </c>
      <c r="D21" s="1">
        <v>44866</v>
      </c>
      <c r="E21" s="1">
        <v>176.67692307692309</v>
      </c>
      <c r="F21" s="1">
        <v>196.9</v>
      </c>
      <c r="G21" s="1">
        <v>180.46666666666667</v>
      </c>
      <c r="H21" s="1">
        <v>181.3</v>
      </c>
      <c r="I21" s="1">
        <v>175.60000000000002</v>
      </c>
      <c r="J21" s="1">
        <v>163</v>
      </c>
      <c r="K21" s="1">
        <v>168.5</v>
      </c>
      <c r="L21" s="1">
        <v>173.7</v>
      </c>
      <c r="M21" s="1">
        <v>173.6</v>
      </c>
      <c r="N21" s="1">
        <v>171.1</v>
      </c>
      <c r="O21" s="1">
        <v>176.5</v>
      </c>
      <c r="P21" s="1">
        <v>176.08435897435896</v>
      </c>
      <c r="Q21" s="1">
        <v>118277.27620134089</v>
      </c>
    </row>
    <row r="22" spans="1:17" x14ac:dyDescent="0.3">
      <c r="A22" s="1" t="s">
        <v>34</v>
      </c>
      <c r="B22" s="1">
        <v>2022</v>
      </c>
      <c r="C22" s="1" t="s">
        <v>54</v>
      </c>
      <c r="D22" s="1">
        <v>44896</v>
      </c>
      <c r="E22" s="1">
        <v>175.64615384615385</v>
      </c>
      <c r="F22" s="1">
        <v>197.3</v>
      </c>
      <c r="G22" s="1">
        <v>181.33333333333334</v>
      </c>
      <c r="H22" s="1">
        <v>182</v>
      </c>
      <c r="I22" s="1">
        <v>176.6</v>
      </c>
      <c r="J22" s="1">
        <v>163.4</v>
      </c>
      <c r="K22" s="1">
        <v>168.9</v>
      </c>
      <c r="L22" s="1">
        <v>174.1</v>
      </c>
      <c r="M22" s="1">
        <v>175.8</v>
      </c>
      <c r="N22" s="1">
        <v>172</v>
      </c>
      <c r="O22" s="1">
        <v>175.7</v>
      </c>
      <c r="P22" s="1">
        <v>176.70794871794871</v>
      </c>
      <c r="Q22" s="1">
        <v>112095.477543425</v>
      </c>
    </row>
    <row r="23" spans="1:17" x14ac:dyDescent="0.3">
      <c r="A23" s="1" t="s">
        <v>34</v>
      </c>
      <c r="B23" s="1">
        <v>2023</v>
      </c>
      <c r="C23" s="1" t="s">
        <v>31</v>
      </c>
      <c r="D23" s="1">
        <v>44927</v>
      </c>
      <c r="E23" s="1">
        <v>176.36153846153846</v>
      </c>
      <c r="F23" s="1">
        <v>198.2</v>
      </c>
      <c r="G23" s="1">
        <v>182.1</v>
      </c>
      <c r="H23" s="1">
        <v>182</v>
      </c>
      <c r="I23" s="1">
        <v>177.60000000000002</v>
      </c>
      <c r="J23" s="1">
        <v>163.6</v>
      </c>
      <c r="K23" s="1">
        <v>169.5</v>
      </c>
      <c r="L23" s="1">
        <v>174.3</v>
      </c>
      <c r="M23" s="1">
        <v>178.6</v>
      </c>
      <c r="N23" s="1">
        <v>172.8</v>
      </c>
      <c r="O23" s="1">
        <v>176.5</v>
      </c>
      <c r="P23" s="1">
        <v>177.50615384615384</v>
      </c>
      <c r="Q23" s="1">
        <v>108892.9652336391</v>
      </c>
    </row>
    <row r="24" spans="1:17" x14ac:dyDescent="0.3">
      <c r="A24" s="1" t="s">
        <v>34</v>
      </c>
      <c r="B24" s="1">
        <v>2023</v>
      </c>
      <c r="C24" s="1" t="s">
        <v>35</v>
      </c>
      <c r="D24" s="1">
        <v>44958</v>
      </c>
      <c r="E24" s="1">
        <v>175.3153846153846</v>
      </c>
      <c r="F24" s="1">
        <v>199.5</v>
      </c>
      <c r="G24" s="1">
        <v>183.33333333333334</v>
      </c>
      <c r="H24" s="1">
        <v>182.1</v>
      </c>
      <c r="I24" s="1">
        <v>179.3</v>
      </c>
      <c r="J24" s="1">
        <v>164.2</v>
      </c>
      <c r="K24" s="1">
        <v>170.3</v>
      </c>
      <c r="L24" s="1">
        <v>175</v>
      </c>
      <c r="M24" s="1">
        <v>181</v>
      </c>
      <c r="N24" s="1">
        <v>174.1</v>
      </c>
      <c r="O24" s="1">
        <v>177.2</v>
      </c>
      <c r="P24" s="1">
        <v>178.41487179487177</v>
      </c>
      <c r="Q24" s="1">
        <v>103743.50619254357</v>
      </c>
    </row>
    <row r="25" spans="1:17" x14ac:dyDescent="0.3">
      <c r="A25" s="1" t="s">
        <v>34</v>
      </c>
      <c r="B25" s="1">
        <v>2023</v>
      </c>
      <c r="C25" s="1" t="s">
        <v>37</v>
      </c>
      <c r="D25" s="1">
        <v>44986</v>
      </c>
      <c r="E25" s="1">
        <v>175.32307692307691</v>
      </c>
      <c r="F25" s="1">
        <v>199.5</v>
      </c>
      <c r="G25" s="1">
        <v>183.29999999999998</v>
      </c>
      <c r="H25" s="1">
        <v>181.9</v>
      </c>
      <c r="I25" s="1">
        <v>179.3</v>
      </c>
      <c r="J25" s="1">
        <v>164.2</v>
      </c>
      <c r="K25" s="1">
        <v>170.3</v>
      </c>
      <c r="L25" s="1">
        <v>175</v>
      </c>
      <c r="M25" s="1">
        <v>181</v>
      </c>
      <c r="N25" s="1">
        <v>174.1</v>
      </c>
      <c r="O25" s="1">
        <v>177.2</v>
      </c>
      <c r="P25" s="1">
        <v>178.39230769230767</v>
      </c>
      <c r="Q25" s="1">
        <v>107655.66151560735</v>
      </c>
    </row>
    <row r="27" spans="1:17" x14ac:dyDescent="0.3">
      <c r="A27" s="31" t="s">
        <v>200</v>
      </c>
      <c r="B27" s="1"/>
      <c r="C27" s="30"/>
      <c r="D27" s="1"/>
      <c r="E27" s="30">
        <f>CORREL(E2:E25,Q2:Q25)</f>
        <v>0.66969853945645097</v>
      </c>
      <c r="F27" s="30">
        <f>CORREL(F2:F25,Q2:Q25)</f>
        <v>0.47047288902237017</v>
      </c>
      <c r="G27" s="30">
        <f>CORREL(G2:G25,Q2:Q25)</f>
        <v>0.64535634198410341</v>
      </c>
      <c r="H27" s="30">
        <f>CORREL(H2:H25,Q2:Q25)</f>
        <v>0.66395968760581925</v>
      </c>
      <c r="I27" s="30">
        <f>CORREL(I2:I25,Q2:Q25)</f>
        <v>0.59797080978156747</v>
      </c>
      <c r="J27" s="26">
        <f>CORREL(J2:J25,Q2:Q25)</f>
        <v>0.765805765600162</v>
      </c>
      <c r="K27" s="30">
        <f>CORREL(K2:K25,$Q$2:$Q$25)</f>
        <v>0.6994328329260896</v>
      </c>
      <c r="L27" s="30">
        <f t="shared" ref="L27:P27" si="0">CORREL(L2:L25,$Q$2:$Q$25)</f>
        <v>0.55988011001006466</v>
      </c>
      <c r="M27" s="30">
        <f t="shared" si="0"/>
        <v>0.56755474950651619</v>
      </c>
      <c r="N27" s="30">
        <f t="shared" si="0"/>
        <v>0.65067495746783022</v>
      </c>
      <c r="O27" s="30">
        <f t="shared" si="0"/>
        <v>0.66442541288227452</v>
      </c>
      <c r="P27" s="30">
        <f t="shared" si="0"/>
        <v>0.64618455101785666</v>
      </c>
    </row>
    <row r="46" spans="7:16" x14ac:dyDescent="0.3">
      <c r="G46" s="33" t="s">
        <v>199</v>
      </c>
      <c r="H46" s="33"/>
      <c r="I46" s="33"/>
      <c r="J46" s="33"/>
      <c r="K46" s="33"/>
      <c r="L46" s="33"/>
      <c r="M46" s="33"/>
      <c r="N46" s="33"/>
      <c r="O46" s="33"/>
      <c r="P46" s="33"/>
    </row>
    <row r="47" spans="7:16" x14ac:dyDescent="0.3">
      <c r="G47" s="33"/>
      <c r="H47" s="33"/>
      <c r="I47" s="33"/>
      <c r="J47" s="33"/>
      <c r="K47" s="33"/>
      <c r="L47" s="33"/>
      <c r="M47" s="33"/>
      <c r="N47" s="33"/>
      <c r="O47" s="33"/>
      <c r="P47" s="33"/>
    </row>
    <row r="48" spans="7:16" x14ac:dyDescent="0.3">
      <c r="G48" s="33"/>
      <c r="H48" s="33"/>
      <c r="I48" s="33"/>
      <c r="J48" s="33"/>
      <c r="K48" s="33"/>
      <c r="L48" s="33"/>
      <c r="M48" s="33"/>
      <c r="N48" s="33"/>
      <c r="O48" s="33"/>
      <c r="P48" s="33"/>
    </row>
    <row r="49" spans="7:16" x14ac:dyDescent="0.3">
      <c r="G49" s="33"/>
      <c r="H49" s="33"/>
      <c r="I49" s="33"/>
      <c r="J49" s="33"/>
      <c r="K49" s="33"/>
      <c r="L49" s="33"/>
      <c r="M49" s="33"/>
      <c r="N49" s="33"/>
      <c r="O49" s="33"/>
      <c r="P49" s="33"/>
    </row>
    <row r="50" spans="7:16" x14ac:dyDescent="0.3">
      <c r="G50" s="33"/>
      <c r="H50" s="33"/>
      <c r="I50" s="33"/>
      <c r="J50" s="33"/>
      <c r="K50" s="33"/>
      <c r="L50" s="33"/>
      <c r="M50" s="33"/>
      <c r="N50" s="33"/>
      <c r="O50" s="33"/>
      <c r="P50" s="33"/>
    </row>
  </sheetData>
  <mergeCells count="1">
    <mergeCell ref="G46:P5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CDA0AD-9F8C-4826-8E7F-39C1B92E2A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All_India_Index_Upto_April23 (1</vt:lpstr>
      <vt:lpstr>Average of each category</vt:lpstr>
      <vt:lpstr>Answer - 1</vt:lpstr>
      <vt:lpstr>Answer - 2</vt:lpstr>
      <vt:lpstr>Answer 3</vt:lpstr>
      <vt:lpstr>Answer - 4</vt:lpstr>
      <vt:lpstr>Answer - 5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Narayan</dc:creator>
  <cp:lastModifiedBy>Amit Yadav</cp:lastModifiedBy>
  <dcterms:created xsi:type="dcterms:W3CDTF">2026-07-09T19:52:44Z</dcterms:created>
  <dcterms:modified xsi:type="dcterms:W3CDTF">2026-07-30T09:56:25Z</dcterms:modified>
</cp:coreProperties>
</file>